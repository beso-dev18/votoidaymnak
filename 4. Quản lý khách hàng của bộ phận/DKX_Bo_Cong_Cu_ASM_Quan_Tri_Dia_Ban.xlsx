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MARKET_MASTER" sheetId="2" state="visible" r:id="rId2"/>
    <sheet xmlns:r="http://schemas.openxmlformats.org/officeDocument/2006/relationships" name="02_NPP_MASTER" sheetId="3" state="visible" r:id="rId3"/>
    <sheet xmlns:r="http://schemas.openxmlformats.org/officeDocument/2006/relationships" name="03_SHOP_MASTER" sheetId="4" state="visible" r:id="rId4"/>
    <sheet xmlns:r="http://schemas.openxmlformats.org/officeDocument/2006/relationships" name="04_SALES_SELLOUT" sheetId="5" state="visible" r:id="rId5"/>
    <sheet xmlns:r="http://schemas.openxmlformats.org/officeDocument/2006/relationships" name="05_NPP_SCORECARD" sheetId="6" state="visible" r:id="rId6"/>
    <sheet xmlns:r="http://schemas.openxmlformats.org/officeDocument/2006/relationships" name="06_NPP_GROWTH_PLAN" sheetId="7" state="visible" r:id="rId7"/>
    <sheet xmlns:r="http://schemas.openxmlformats.org/officeDocument/2006/relationships" name="07_ASM_DASHBOARD" sheetId="8" state="visible" r:id="rId8"/>
    <sheet xmlns:r="http://schemas.openxmlformats.org/officeDocument/2006/relationships" name="08_NPP_BUSINESS_REVIEW" sheetId="9" state="visible" r:id="rId9"/>
    <sheet xmlns:r="http://schemas.openxmlformats.org/officeDocument/2006/relationships" name="09_MARKET_COMPETITOR" sheetId="10" state="visible" r:id="rId10"/>
    <sheet xmlns:r="http://schemas.openxmlformats.org/officeDocument/2006/relationships" name="10_ACTION_LOG" sheetId="11" state="visible" r:id="rId11"/>
    <sheet xmlns:r="http://schemas.openxmlformats.org/officeDocument/2006/relationships" name="11_KPI_ASM" sheetId="12" state="visible" r:id="rId12"/>
    <sheet xmlns:r="http://schemas.openxmlformats.org/officeDocument/2006/relationships" name="12_SOLUTION_MATRIX" sheetId="13" state="visible" r:id="rId13"/>
    <sheet xmlns:r="http://schemas.openxmlformats.org/officeDocument/2006/relationships" name="13_ASM_CHECKLIST" sheetId="14" state="visible" r:id="rId14"/>
  </sheets>
  <definedNames>
    <definedName name="_xlnm._FilterDatabase" localSheetId="1" hidden="1">'01_MARKET_MASTER'!$A$3:$L$103</definedName>
    <definedName name="_xlnm._FilterDatabase" localSheetId="2" hidden="1">'02_NPP_MASTER'!$A$3:$R$53</definedName>
    <definedName name="_xlnm._FilterDatabase" localSheetId="3" hidden="1">'03_SHOP_MASTER'!$A$3:$T$203</definedName>
    <definedName name="_xlnm._FilterDatabase" localSheetId="4" hidden="1">'04_SALES_SELLOUT'!$A$3:$R$503</definedName>
    <definedName name="_xlnm._FilterDatabase" localSheetId="5" hidden="1">'05_NPP_SCORECARD'!$A$3:$N$53</definedName>
    <definedName name="_xlnm._FilterDatabase" localSheetId="6" hidden="1">'06_NPP_GROWTH_PLAN'!$A$3:$Q$103</definedName>
    <definedName name="_xlnm._FilterDatabase" localSheetId="8" hidden="1">'08_NPP_BUSINESS_REVIEW'!$A$3:$H$9</definedName>
    <definedName name="_xlnm._FilterDatabase" localSheetId="9" hidden="1">'09_MARKET_COMPETITOR'!$A$3:$N$153</definedName>
    <definedName name="_xlnm._FilterDatabase" localSheetId="10" hidden="1">'10_ACTION_LOG'!$A$3:$O$203</definedName>
    <definedName name="_xlnm._FilterDatabase" localSheetId="11" hidden="1">'11_KPI_ASM'!$A$3:$J$13</definedName>
    <definedName name="_xlnm._FilterDatabase" localSheetId="12" hidden="1">'12_SOLUTION_MATRIX'!$A$3:$K$9</definedName>
    <definedName name="_xlnm._FilterDatabase" localSheetId="13" hidden="1">'13_ASM_CHECKLIST'!$A$3:$L$11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28" customHeight="1">
      <c r="A1" s="1" t="inlineStr">
        <is>
          <t>BỘ CÔNG CỤ ASM – QUẢN TRỊ ĐỊA BÀN QUA NPP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Hạng mục</t>
        </is>
      </c>
      <c r="B3" s="3" t="inlineStr">
        <is>
          <t>Hướng dẫn sử dụng</t>
        </is>
      </c>
      <c r="C3" s="2" t="n"/>
      <c r="D3" s="2" t="n"/>
      <c r="E3" s="2" t="n"/>
      <c r="F3" s="2" t="n"/>
      <c r="G3" s="2" t="n"/>
      <c r="H3" s="2" t="n"/>
    </row>
    <row r="4">
      <c r="A4" s="4" t="inlineStr">
        <is>
          <t>Mục tiêu</t>
        </is>
      </c>
      <c r="B4" s="4" t="inlineStr">
        <is>
          <t>Biến ASM thành người quản trị tăng trưởng địa bàn: Thị trường → NPP → Shop → SKU → Sell-out → GAP → Giải pháp → Kết quả.</t>
        </is>
      </c>
      <c r="C4" s="2" t="n"/>
      <c r="D4" s="2" t="n"/>
      <c r="E4" s="2" t="n"/>
      <c r="F4" s="2" t="n"/>
      <c r="G4" s="2" t="n"/>
      <c r="H4" s="2" t="n"/>
    </row>
    <row r="5">
      <c r="A5" s="4" t="inlineStr">
        <is>
          <t>Nguyên tắc</t>
        </is>
      </c>
      <c r="B5" s="4" t="inlineStr">
        <is>
          <t>Không chỉ hỏi NPP nhập bao nhiêu; phải biết bán cho bao nhiêu shop, bán gì, tần suất, sell-out, tồn kho và khoảng trống tăng trưởng.</t>
        </is>
      </c>
      <c r="C5" s="2" t="n"/>
      <c r="D5" s="2" t="n"/>
      <c r="E5" s="2" t="n"/>
      <c r="F5" s="2" t="n"/>
      <c r="G5" s="2" t="n"/>
      <c r="H5" s="2" t="n"/>
    </row>
    <row r="6">
      <c r="A6" s="4" t="inlineStr">
        <is>
          <t>Chẩn đoán</t>
        </is>
      </c>
      <c r="B6" s="4" t="inlineStr">
        <is>
          <t>Hiện tượng → Dữ liệu → Nguyên nhân gốc → Giải pháp → Owner → Deadline → Doanh số kỳ vọng.</t>
        </is>
      </c>
      <c r="C6" s="2" t="n"/>
      <c r="D6" s="2" t="n"/>
      <c r="E6" s="2" t="n"/>
      <c r="F6" s="2" t="n"/>
      <c r="G6" s="2" t="n"/>
      <c r="H6" s="2" t="n"/>
    </row>
    <row r="7">
      <c r="A7" s="4" t="inlineStr">
        <is>
          <t>Nhịp ngày</t>
        </is>
      </c>
      <c r="B7" s="4" t="inlineStr">
        <is>
          <t>15 phút: hôm qua đạt gì → hôm nay cần gì → GAP lớn nhất → 1 hành động recovery.</t>
        </is>
      </c>
      <c r="C7" s="2" t="n"/>
      <c r="D7" s="2" t="n"/>
      <c r="E7" s="2" t="n"/>
      <c r="F7" s="2" t="n"/>
      <c r="G7" s="2" t="n"/>
      <c r="H7" s="2" t="n"/>
    </row>
    <row r="8">
      <c r="A8" s="4" t="inlineStr">
        <is>
          <t>Nhịp tuần</t>
        </is>
      </c>
      <c r="B8" s="4" t="inlineStr">
        <is>
          <t>60 phút: Sales → Coverage → Shop → SKU → Sell-out → NPP risk → Recovery.</t>
        </is>
      </c>
      <c r="C8" s="2" t="n"/>
      <c r="D8" s="2" t="n"/>
      <c r="E8" s="2" t="n"/>
      <c r="F8" s="2" t="n"/>
      <c r="G8" s="2" t="n"/>
      <c r="H8" s="2" t="n"/>
    </row>
    <row r="9">
      <c r="A9" s="4" t="inlineStr">
        <is>
          <t>Nhịp tháng</t>
        </is>
      </c>
      <c r="B9" s="4" t="inlineStr">
        <is>
          <t>NPP Business Review: đánh giá NPP → xác định GAP → chốt NPP Growth Plan.</t>
        </is>
      </c>
      <c r="C9" s="2" t="n"/>
      <c r="D9" s="2" t="n"/>
      <c r="E9" s="2" t="n"/>
      <c r="F9" s="2" t="n"/>
      <c r="G9" s="2" t="n"/>
      <c r="H9" s="2" t="n"/>
    </row>
    <row r="10">
      <c r="A10" s="4" t="inlineStr">
        <is>
          <t>Bộ công cụ</t>
        </is>
      </c>
      <c r="B10" s="4" t="inlineStr">
        <is>
          <t>01 Market Master; 02 NPP Master; 03 Shop Master; 04 Sales &amp; Sell-out; 05 NPP Scorecard; 06 NPP Growth Plan; 07 Dashboard; 08 NPP Review; 09 Competitor; 10 Action Log; 11 KPI ASM; 12 Solution Matrix; 13 Checklist.</t>
        </is>
      </c>
      <c r="C10" s="2" t="n"/>
      <c r="D10" s="2" t="n"/>
      <c r="E10" s="2" t="n"/>
      <c r="F10" s="2" t="n"/>
      <c r="G10" s="2" t="n"/>
      <c r="H10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28" customWidth="1" min="6" max="6"/>
    <col width="12" customWidth="1" min="7" max="7"/>
    <col width="24" customWidth="1" min="8" max="8"/>
    <col width="18" customWidth="1" min="9" max="9"/>
    <col width="20" customWidth="1" min="10" max="10"/>
    <col width="18" customWidth="1" min="11" max="11"/>
    <col width="30" customWidth="1" min="12" max="12"/>
  </cols>
  <sheetData>
    <row r="1" ht="28" customHeight="1">
      <c r="A1" s="1" t="inlineStr">
        <is>
          <t>01 – MARKET MASTER | BẢN ĐỒ THỊ TRƯỜNG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Mã KV</t>
        </is>
      </c>
      <c r="B3" s="3" t="inlineStr">
        <is>
          <t>Tỉnh/TP</t>
        </is>
      </c>
      <c r="C3" s="3" t="inlineStr">
        <is>
          <t>Quận/Huyện</t>
        </is>
      </c>
      <c r="D3" s="3" t="inlineStr">
        <is>
          <t>Phường/Xã</t>
        </is>
      </c>
      <c r="E3" s="3" t="inlineStr">
        <is>
          <t>Loại điểm bán</t>
        </is>
      </c>
      <c r="F3" s="3" t="inlineStr">
        <is>
          <t>Tên điểm bán</t>
        </is>
      </c>
      <c r="G3" s="3" t="inlineStr">
        <is>
          <t>Quy mô</t>
        </is>
      </c>
      <c r="H3" s="3" t="inlineStr">
        <is>
          <t>NPP đang phục vụ</t>
        </is>
      </c>
      <c r="I3" s="3" t="inlineStr">
        <is>
          <t>Đang mua DKX?</t>
        </is>
      </c>
      <c r="J3" s="3" t="inlineStr">
        <is>
          <t>Đối thủ chính</t>
        </is>
      </c>
      <c r="K3" s="3" t="inlineStr">
        <is>
          <t>Tiềm năng/tháng</t>
        </is>
      </c>
      <c r="L3" s="3" t="inlineStr">
        <is>
          <t>Ghi chú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</sheetData>
  <autoFilter ref="A3:L103"/>
  <mergeCells count="1">
    <mergeCell ref="A1:L1"/>
  </mergeCells>
  <dataValidations count="1">
    <dataValidation sqref="I4:I103" showDropDown="0" showInputMessage="0" showErrorMessage="0" allowBlank="0" type="list">
      <formula1>"Có,Chưa,Chưa xác định"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15" customWidth="1" min="5" max="5"/>
    <col width="12" customWidth="1" min="6" max="6"/>
    <col width="10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2" customWidth="1" min="13" max="13"/>
    <col width="16" customWidth="1" min="14" max="14"/>
    <col width="16" customWidth="1" min="15" max="15"/>
    <col width="12" customWidth="1" min="16" max="16"/>
    <col width="14" customWidth="1" min="17" max="17"/>
    <col width="24" customWidth="1" min="18" max="18"/>
  </cols>
  <sheetData>
    <row r="1" ht="28" customHeight="1">
      <c r="A1" s="1" t="inlineStr">
        <is>
          <t>02 – NPP MASTER | HỒ SƠ &amp; NĂNG LỰC NPP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Mã NPP</t>
        </is>
      </c>
      <c r="B3" s="3" t="inlineStr">
        <is>
          <t>Tên NPP</t>
        </is>
      </c>
      <c r="C3" s="3" t="inlineStr">
        <is>
          <t>Địa bàn</t>
        </is>
      </c>
      <c r="D3" s="3" t="inlineStr">
        <is>
          <t>Người quyết định</t>
        </is>
      </c>
      <c r="E3" s="3" t="inlineStr">
        <is>
          <t>SĐT</t>
        </is>
      </c>
      <c r="F3" s="3" t="inlineStr">
        <is>
          <t>Salesman</t>
        </is>
      </c>
      <c r="G3" s="3" t="inlineStr">
        <is>
          <t>Tuyến</t>
        </is>
      </c>
      <c r="H3" s="3" t="inlineStr">
        <is>
          <t>Shop phục vụ</t>
        </is>
      </c>
      <c r="I3" s="3" t="inlineStr">
        <is>
          <t>Active 30D</t>
        </is>
      </c>
      <c r="J3" s="3" t="inlineStr">
        <is>
          <t>Dormant</t>
        </is>
      </c>
      <c r="K3" s="3" t="inlineStr">
        <is>
          <t>Lost</t>
        </is>
      </c>
      <c r="L3" s="3" t="inlineStr">
        <is>
          <t>DKX Shop</t>
        </is>
      </c>
      <c r="M3" s="3" t="inlineStr">
        <is>
          <t>SKU DKX</t>
        </is>
      </c>
      <c r="N3" s="3" t="inlineStr">
        <is>
          <t>DS T-1</t>
        </is>
      </c>
      <c r="O3" s="3" t="inlineStr">
        <is>
          <t>Tồn kho</t>
        </is>
      </c>
      <c r="P3" s="3" t="inlineStr">
        <is>
          <t>Ngày tồn</t>
        </is>
      </c>
      <c r="Q3" s="3" t="inlineStr">
        <is>
          <t>Điểm/100</t>
        </is>
      </c>
      <c r="R3" s="3" t="inlineStr">
        <is>
          <t>Phân loại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>
        <f>MIN(100,ROUND(I4*15/MAX(1,H4)+MIN(M4,5)*2+MIN(N4/100000000,20)+IF(P4&lt;=30,5,0)+20,0))</f>
        <v/>
      </c>
      <c r="R4" s="4">
        <f>IF(Q4&gt;=80,"A – Growth Partner",IF(Q4&gt;=65,"B – Develop",IF(Q4&gt;=50,"C – Correct","D – Restructure")))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>
        <f>MIN(100,ROUND(I5*15/MAX(1,H5)+MIN(M5,5)*2+MIN(N5/100000000,20)+IF(P5&lt;=30,5,0)+20,0))</f>
        <v/>
      </c>
      <c r="R5" s="4">
        <f>IF(Q5&gt;=80,"A – Growth Partner",IF(Q5&gt;=65,"B – Develop",IF(Q5&gt;=50,"C – Correct","D – Restructure")))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>
        <f>MIN(100,ROUND(I6*15/MAX(1,H6)+MIN(M6,5)*2+MIN(N6/100000000,20)+IF(P6&lt;=30,5,0)+20,0))</f>
        <v/>
      </c>
      <c r="R6" s="4">
        <f>IF(Q6&gt;=80,"A – Growth Partner",IF(Q6&gt;=65,"B – Develop",IF(Q6&gt;=50,"C – Correct","D – Restructure")))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>
        <f>MIN(100,ROUND(I7*15/MAX(1,H7)+MIN(M7,5)*2+MIN(N7/100000000,20)+IF(P7&lt;=30,5,0)+20,0))</f>
        <v/>
      </c>
      <c r="R7" s="4">
        <f>IF(Q7&gt;=80,"A – Growth Partner",IF(Q7&gt;=65,"B – Develop",IF(Q7&gt;=50,"C – Correct","D – Restructure")))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>
        <f>MIN(100,ROUND(I8*15/MAX(1,H8)+MIN(M8,5)*2+MIN(N8/100000000,20)+IF(P8&lt;=30,5,0)+20,0))</f>
        <v/>
      </c>
      <c r="R8" s="4">
        <f>IF(Q8&gt;=80,"A – Growth Partner",IF(Q8&gt;=65,"B – Develop",IF(Q8&gt;=50,"C – Correct","D – Restructure")))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>
        <f>MIN(100,ROUND(I9*15/MAX(1,H9)+MIN(M9,5)*2+MIN(N9/100000000,20)+IF(P9&lt;=30,5,0)+20,0))</f>
        <v/>
      </c>
      <c r="R9" s="4">
        <f>IF(Q9&gt;=80,"A – Growth Partner",IF(Q9&gt;=65,"B – Develop",IF(Q9&gt;=50,"C – Correct","D – Restructure")))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>
        <f>MIN(100,ROUND(I10*15/MAX(1,H10)+MIN(M10,5)*2+MIN(N10/100000000,20)+IF(P10&lt;=30,5,0)+20,0))</f>
        <v/>
      </c>
      <c r="R10" s="4">
        <f>IF(Q10&gt;=80,"A – Growth Partner",IF(Q10&gt;=65,"B – Develop",IF(Q10&gt;=50,"C – Correct","D – Restructure")))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>
        <f>MIN(100,ROUND(I11*15/MAX(1,H11)+MIN(M11,5)*2+MIN(N11/100000000,20)+IF(P11&lt;=30,5,0)+20,0))</f>
        <v/>
      </c>
      <c r="R11" s="4">
        <f>IF(Q11&gt;=80,"A – Growth Partner",IF(Q11&gt;=65,"B – Develop",IF(Q11&gt;=50,"C – Correct","D – Restructure")))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>
        <f>MIN(100,ROUND(I12*15/MAX(1,H12)+MIN(M12,5)*2+MIN(N12/100000000,20)+IF(P12&lt;=30,5,0)+20,0))</f>
        <v/>
      </c>
      <c r="R12" s="4">
        <f>IF(Q12&gt;=80,"A – Growth Partner",IF(Q12&gt;=65,"B – Develop",IF(Q12&gt;=50,"C – Correct","D – Restructure")))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>
        <f>MIN(100,ROUND(I13*15/MAX(1,H13)+MIN(M13,5)*2+MIN(N13/100000000,20)+IF(P13&lt;=30,5,0)+20,0))</f>
        <v/>
      </c>
      <c r="R13" s="4">
        <f>IF(Q13&gt;=80,"A – Growth Partner",IF(Q13&gt;=65,"B – Develop",IF(Q13&gt;=50,"C – Correct","D – Restructure")))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>
        <f>MIN(100,ROUND(I14*15/MAX(1,H14)+MIN(M14,5)*2+MIN(N14/100000000,20)+IF(P14&lt;=30,5,0)+20,0))</f>
        <v/>
      </c>
      <c r="R14" s="4">
        <f>IF(Q14&gt;=80,"A – Growth Partner",IF(Q14&gt;=65,"B – Develop",IF(Q14&gt;=50,"C – Correct","D – Restructure")))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>
        <f>MIN(100,ROUND(I15*15/MAX(1,H15)+MIN(M15,5)*2+MIN(N15/100000000,20)+IF(P15&lt;=30,5,0)+20,0))</f>
        <v/>
      </c>
      <c r="R15" s="4">
        <f>IF(Q15&gt;=80,"A – Growth Partner",IF(Q15&gt;=65,"B – Develop",IF(Q15&gt;=50,"C – Correct","D – Restructure")))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>
        <f>MIN(100,ROUND(I16*15/MAX(1,H16)+MIN(M16,5)*2+MIN(N16/100000000,20)+IF(P16&lt;=30,5,0)+20,0))</f>
        <v/>
      </c>
      <c r="R16" s="4">
        <f>IF(Q16&gt;=80,"A – Growth Partner",IF(Q16&gt;=65,"B – Develop",IF(Q16&gt;=50,"C – Correct","D – Restructure")))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>
        <f>MIN(100,ROUND(I17*15/MAX(1,H17)+MIN(M17,5)*2+MIN(N17/100000000,20)+IF(P17&lt;=30,5,0)+20,0))</f>
        <v/>
      </c>
      <c r="R17" s="4">
        <f>IF(Q17&gt;=80,"A – Growth Partner",IF(Q17&gt;=65,"B – Develop",IF(Q17&gt;=50,"C – Correct","D – Restructure")))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>
        <f>MIN(100,ROUND(I18*15/MAX(1,H18)+MIN(M18,5)*2+MIN(N18/100000000,20)+IF(P18&lt;=30,5,0)+20,0))</f>
        <v/>
      </c>
      <c r="R18" s="4">
        <f>IF(Q18&gt;=80,"A – Growth Partner",IF(Q18&gt;=65,"B – Develop",IF(Q18&gt;=50,"C – Correct","D – Restructure")))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>
        <f>MIN(100,ROUND(I19*15/MAX(1,H19)+MIN(M19,5)*2+MIN(N19/100000000,20)+IF(P19&lt;=30,5,0)+20,0))</f>
        <v/>
      </c>
      <c r="R19" s="4">
        <f>IF(Q19&gt;=80,"A – Growth Partner",IF(Q19&gt;=65,"B – Develop",IF(Q19&gt;=50,"C – Correct","D – Restructure")))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>
        <f>MIN(100,ROUND(I20*15/MAX(1,H20)+MIN(M20,5)*2+MIN(N20/100000000,20)+IF(P20&lt;=30,5,0)+20,0))</f>
        <v/>
      </c>
      <c r="R20" s="4">
        <f>IF(Q20&gt;=80,"A – Growth Partner",IF(Q20&gt;=65,"B – Develop",IF(Q20&gt;=50,"C – Correct","D – Restructure")))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>
        <f>MIN(100,ROUND(I21*15/MAX(1,H21)+MIN(M21,5)*2+MIN(N21/100000000,20)+IF(P21&lt;=30,5,0)+20,0))</f>
        <v/>
      </c>
      <c r="R21" s="4">
        <f>IF(Q21&gt;=80,"A – Growth Partner",IF(Q21&gt;=65,"B – Develop",IF(Q21&gt;=50,"C – Correct","D – Restructure")))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>
        <f>MIN(100,ROUND(I22*15/MAX(1,H22)+MIN(M22,5)*2+MIN(N22/100000000,20)+IF(P22&lt;=30,5,0)+20,0))</f>
        <v/>
      </c>
      <c r="R22" s="4">
        <f>IF(Q22&gt;=80,"A – Growth Partner",IF(Q22&gt;=65,"B – Develop",IF(Q22&gt;=50,"C – Correct","D – Restructure")))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>
        <f>MIN(100,ROUND(I23*15/MAX(1,H23)+MIN(M23,5)*2+MIN(N23/100000000,20)+IF(P23&lt;=30,5,0)+20,0))</f>
        <v/>
      </c>
      <c r="R23" s="4">
        <f>IF(Q23&gt;=80,"A – Growth Partner",IF(Q23&gt;=65,"B – Develop",IF(Q23&gt;=50,"C – Correct","D – Restructure")))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>
        <f>MIN(100,ROUND(I24*15/MAX(1,H24)+MIN(M24,5)*2+MIN(N24/100000000,20)+IF(P24&lt;=30,5,0)+20,0))</f>
        <v/>
      </c>
      <c r="R24" s="4">
        <f>IF(Q24&gt;=80,"A – Growth Partner",IF(Q24&gt;=65,"B – Develop",IF(Q24&gt;=50,"C – Correct","D – Restructure")))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>
        <f>MIN(100,ROUND(I25*15/MAX(1,H25)+MIN(M25,5)*2+MIN(N25/100000000,20)+IF(P25&lt;=30,5,0)+20,0))</f>
        <v/>
      </c>
      <c r="R25" s="4">
        <f>IF(Q25&gt;=80,"A – Growth Partner",IF(Q25&gt;=65,"B – Develop",IF(Q25&gt;=50,"C – Correct","D – Restructure")))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>
        <f>MIN(100,ROUND(I26*15/MAX(1,H26)+MIN(M26,5)*2+MIN(N26/100000000,20)+IF(P26&lt;=30,5,0)+20,0))</f>
        <v/>
      </c>
      <c r="R26" s="4">
        <f>IF(Q26&gt;=80,"A – Growth Partner",IF(Q26&gt;=65,"B – Develop",IF(Q26&gt;=50,"C – Correct","D – Restructure")))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>
        <f>MIN(100,ROUND(I27*15/MAX(1,H27)+MIN(M27,5)*2+MIN(N27/100000000,20)+IF(P27&lt;=30,5,0)+20,0))</f>
        <v/>
      </c>
      <c r="R27" s="4">
        <f>IF(Q27&gt;=80,"A – Growth Partner",IF(Q27&gt;=65,"B – Develop",IF(Q27&gt;=50,"C – Correct","D – Restructure")))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>
        <f>MIN(100,ROUND(I28*15/MAX(1,H28)+MIN(M28,5)*2+MIN(N28/100000000,20)+IF(P28&lt;=30,5,0)+20,0))</f>
        <v/>
      </c>
      <c r="R28" s="4">
        <f>IF(Q28&gt;=80,"A – Growth Partner",IF(Q28&gt;=65,"B – Develop",IF(Q28&gt;=50,"C – Correct","D – Restructure")))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>
        <f>MIN(100,ROUND(I29*15/MAX(1,H29)+MIN(M29,5)*2+MIN(N29/100000000,20)+IF(P29&lt;=30,5,0)+20,0))</f>
        <v/>
      </c>
      <c r="R29" s="4">
        <f>IF(Q29&gt;=80,"A – Growth Partner",IF(Q29&gt;=65,"B – Develop",IF(Q29&gt;=50,"C – Correct","D – Restructure")))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>
        <f>MIN(100,ROUND(I30*15/MAX(1,H30)+MIN(M30,5)*2+MIN(N30/100000000,20)+IF(P30&lt;=30,5,0)+20,0))</f>
        <v/>
      </c>
      <c r="R30" s="4">
        <f>IF(Q30&gt;=80,"A – Growth Partner",IF(Q30&gt;=65,"B – Develop",IF(Q30&gt;=50,"C – Correct","D – Restructure")))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>
        <f>MIN(100,ROUND(I31*15/MAX(1,H31)+MIN(M31,5)*2+MIN(N31/100000000,20)+IF(P31&lt;=30,5,0)+20,0))</f>
        <v/>
      </c>
      <c r="R31" s="4">
        <f>IF(Q31&gt;=80,"A – Growth Partner",IF(Q31&gt;=65,"B – Develop",IF(Q31&gt;=50,"C – Correct","D – Restructure")))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>
        <f>MIN(100,ROUND(I32*15/MAX(1,H32)+MIN(M32,5)*2+MIN(N32/100000000,20)+IF(P32&lt;=30,5,0)+20,0))</f>
        <v/>
      </c>
      <c r="R32" s="4">
        <f>IF(Q32&gt;=80,"A – Growth Partner",IF(Q32&gt;=65,"B – Develop",IF(Q32&gt;=50,"C – Correct","D – Restructure")))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>
        <f>MIN(100,ROUND(I33*15/MAX(1,H33)+MIN(M33,5)*2+MIN(N33/100000000,20)+IF(P33&lt;=30,5,0)+20,0))</f>
        <v/>
      </c>
      <c r="R33" s="4">
        <f>IF(Q33&gt;=80,"A – Growth Partner",IF(Q33&gt;=65,"B – Develop",IF(Q33&gt;=50,"C – Correct","D – Restructure")))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>
        <f>MIN(100,ROUND(I34*15/MAX(1,H34)+MIN(M34,5)*2+MIN(N34/100000000,20)+IF(P34&lt;=30,5,0)+20,0))</f>
        <v/>
      </c>
      <c r="R34" s="4">
        <f>IF(Q34&gt;=80,"A – Growth Partner",IF(Q34&gt;=65,"B – Develop",IF(Q34&gt;=50,"C – Correct","D – Restructure")))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>
        <f>MIN(100,ROUND(I35*15/MAX(1,H35)+MIN(M35,5)*2+MIN(N35/100000000,20)+IF(P35&lt;=30,5,0)+20,0))</f>
        <v/>
      </c>
      <c r="R35" s="4">
        <f>IF(Q35&gt;=80,"A – Growth Partner",IF(Q35&gt;=65,"B – Develop",IF(Q35&gt;=50,"C – Correct","D – Restructure")))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>
        <f>MIN(100,ROUND(I36*15/MAX(1,H36)+MIN(M36,5)*2+MIN(N36/100000000,20)+IF(P36&lt;=30,5,0)+20,0))</f>
        <v/>
      </c>
      <c r="R36" s="4">
        <f>IF(Q36&gt;=80,"A – Growth Partner",IF(Q36&gt;=65,"B – Develop",IF(Q36&gt;=50,"C – Correct","D – Restructure")))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>
        <f>MIN(100,ROUND(I37*15/MAX(1,H37)+MIN(M37,5)*2+MIN(N37/100000000,20)+IF(P37&lt;=30,5,0)+20,0))</f>
        <v/>
      </c>
      <c r="R37" s="4">
        <f>IF(Q37&gt;=80,"A – Growth Partner",IF(Q37&gt;=65,"B – Develop",IF(Q37&gt;=50,"C – Correct","D – Restructure")))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>
        <f>MIN(100,ROUND(I38*15/MAX(1,H38)+MIN(M38,5)*2+MIN(N38/100000000,20)+IF(P38&lt;=30,5,0)+20,0))</f>
        <v/>
      </c>
      <c r="R38" s="4">
        <f>IF(Q38&gt;=80,"A – Growth Partner",IF(Q38&gt;=65,"B – Develop",IF(Q38&gt;=50,"C – Correct","D – Restructure")))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>
        <f>MIN(100,ROUND(I39*15/MAX(1,H39)+MIN(M39,5)*2+MIN(N39/100000000,20)+IF(P39&lt;=30,5,0)+20,0))</f>
        <v/>
      </c>
      <c r="R39" s="4">
        <f>IF(Q39&gt;=80,"A – Growth Partner",IF(Q39&gt;=65,"B – Develop",IF(Q39&gt;=50,"C – Correct","D – Restructure")))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>
        <f>MIN(100,ROUND(I40*15/MAX(1,H40)+MIN(M40,5)*2+MIN(N40/100000000,20)+IF(P40&lt;=30,5,0)+20,0))</f>
        <v/>
      </c>
      <c r="R40" s="4">
        <f>IF(Q40&gt;=80,"A – Growth Partner",IF(Q40&gt;=65,"B – Develop",IF(Q40&gt;=50,"C – Correct","D – Restructure")))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>
        <f>MIN(100,ROUND(I41*15/MAX(1,H41)+MIN(M41,5)*2+MIN(N41/100000000,20)+IF(P41&lt;=30,5,0)+20,0))</f>
        <v/>
      </c>
      <c r="R41" s="4">
        <f>IF(Q41&gt;=80,"A – Growth Partner",IF(Q41&gt;=65,"B – Develop",IF(Q41&gt;=50,"C – Correct","D – Restructure")))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>
        <f>MIN(100,ROUND(I42*15/MAX(1,H42)+MIN(M42,5)*2+MIN(N42/100000000,20)+IF(P42&lt;=30,5,0)+20,0))</f>
        <v/>
      </c>
      <c r="R42" s="4">
        <f>IF(Q42&gt;=80,"A – Growth Partner",IF(Q42&gt;=65,"B – Develop",IF(Q42&gt;=50,"C – Correct","D – Restructure")))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>
        <f>MIN(100,ROUND(I43*15/MAX(1,H43)+MIN(M43,5)*2+MIN(N43/100000000,20)+IF(P43&lt;=30,5,0)+20,0))</f>
        <v/>
      </c>
      <c r="R43" s="4">
        <f>IF(Q43&gt;=80,"A – Growth Partner",IF(Q43&gt;=65,"B – Develop",IF(Q43&gt;=50,"C – Correct","D – Restructure")))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>
        <f>MIN(100,ROUND(I44*15/MAX(1,H44)+MIN(M44,5)*2+MIN(N44/100000000,20)+IF(P44&lt;=30,5,0)+20,0))</f>
        <v/>
      </c>
      <c r="R44" s="4">
        <f>IF(Q44&gt;=80,"A – Growth Partner",IF(Q44&gt;=65,"B – Develop",IF(Q44&gt;=50,"C – Correct","D – Restructure")))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>
        <f>MIN(100,ROUND(I45*15/MAX(1,H45)+MIN(M45,5)*2+MIN(N45/100000000,20)+IF(P45&lt;=30,5,0)+20,0))</f>
        <v/>
      </c>
      <c r="R45" s="4">
        <f>IF(Q45&gt;=80,"A – Growth Partner",IF(Q45&gt;=65,"B – Develop",IF(Q45&gt;=50,"C – Correct","D – Restructure")))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>
        <f>MIN(100,ROUND(I46*15/MAX(1,H46)+MIN(M46,5)*2+MIN(N46/100000000,20)+IF(P46&lt;=30,5,0)+20,0))</f>
        <v/>
      </c>
      <c r="R46" s="4">
        <f>IF(Q46&gt;=80,"A – Growth Partner",IF(Q46&gt;=65,"B – Develop",IF(Q46&gt;=50,"C – Correct","D – Restructure")))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>
        <f>MIN(100,ROUND(I47*15/MAX(1,H47)+MIN(M47,5)*2+MIN(N47/100000000,20)+IF(P47&lt;=30,5,0)+20,0))</f>
        <v/>
      </c>
      <c r="R47" s="4">
        <f>IF(Q47&gt;=80,"A – Growth Partner",IF(Q47&gt;=65,"B – Develop",IF(Q47&gt;=50,"C – Correct","D – Restructure")))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>
        <f>MIN(100,ROUND(I48*15/MAX(1,H48)+MIN(M48,5)*2+MIN(N48/100000000,20)+IF(P48&lt;=30,5,0)+20,0))</f>
        <v/>
      </c>
      <c r="R48" s="4">
        <f>IF(Q48&gt;=80,"A – Growth Partner",IF(Q48&gt;=65,"B – Develop",IF(Q48&gt;=50,"C – Correct","D – Restructure")))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>
        <f>MIN(100,ROUND(I49*15/MAX(1,H49)+MIN(M49,5)*2+MIN(N49/100000000,20)+IF(P49&lt;=30,5,0)+20,0))</f>
        <v/>
      </c>
      <c r="R49" s="4">
        <f>IF(Q49&gt;=80,"A – Growth Partner",IF(Q49&gt;=65,"B – Develop",IF(Q49&gt;=50,"C – Correct","D – Restructure")))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>
        <f>MIN(100,ROUND(I50*15/MAX(1,H50)+MIN(M50,5)*2+MIN(N50/100000000,20)+IF(P50&lt;=30,5,0)+20,0))</f>
        <v/>
      </c>
      <c r="R50" s="4">
        <f>IF(Q50&gt;=80,"A – Growth Partner",IF(Q50&gt;=65,"B – Develop",IF(Q50&gt;=50,"C – Correct","D – Restructure")))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>
        <f>MIN(100,ROUND(I51*15/MAX(1,H51)+MIN(M51,5)*2+MIN(N51/100000000,20)+IF(P51&lt;=30,5,0)+20,0))</f>
        <v/>
      </c>
      <c r="R51" s="4">
        <f>IF(Q51&gt;=80,"A – Growth Partner",IF(Q51&gt;=65,"B – Develop",IF(Q51&gt;=50,"C – Correct","D – Restructure")))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>
        <f>MIN(100,ROUND(I52*15/MAX(1,H52)+MIN(M52,5)*2+MIN(N52/100000000,20)+IF(P52&lt;=30,5,0)+20,0))</f>
        <v/>
      </c>
      <c r="R52" s="4">
        <f>IF(Q52&gt;=80,"A – Growth Partner",IF(Q52&gt;=65,"B – Develop",IF(Q52&gt;=50,"C – Correct","D – Restructure")))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>
        <f>MIN(100,ROUND(I53*15/MAX(1,H53)+MIN(M53,5)*2+MIN(N53/100000000,20)+IF(P53&lt;=30,5,0)+20,0))</f>
        <v/>
      </c>
      <c r="R53" s="4">
        <f>IF(Q53&gt;=80,"A – Growth Partner",IF(Q53&gt;=65,"B – Develop",IF(Q53&gt;=50,"C – Correct","D – Restructure")))</f>
        <v/>
      </c>
    </row>
  </sheetData>
  <autoFilter ref="A3:R53"/>
  <mergeCells count="1">
    <mergeCell ref="A1:R1"/>
  </mergeCells>
  <conditionalFormatting sqref="Q4:Q53">
    <cfRule type="cellIs" priority="1" operator="lessThan" dxfId="0">
      <formula>50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2" customWidth="1" min="4" max="4"/>
    <col width="16" customWidth="1" min="5" max="5"/>
    <col width="12" customWidth="1" min="6" max="6"/>
    <col width="16" customWidth="1" min="7" max="7"/>
    <col width="18" customWidth="1" min="8" max="8"/>
    <col width="12" customWidth="1" min="9" max="9"/>
    <col width="16" customWidth="1" min="10" max="10"/>
    <col width="14" customWidth="1" min="11" max="11"/>
    <col width="16" customWidth="1" min="12" max="12"/>
    <col width="14" customWidth="1" min="13" max="13"/>
    <col width="12" customWidth="1" min="14" max="14"/>
    <col width="16" customWidth="1" min="15" max="15"/>
    <col width="16" customWidth="1" min="16" max="16"/>
    <col width="24" customWidth="1" min="17" max="17"/>
    <col width="28" customWidth="1" min="18" max="18"/>
    <col width="16" customWidth="1" min="19" max="19"/>
    <col width="28" customWidth="1" min="20" max="20"/>
  </cols>
  <sheetData>
    <row r="1" ht="28" customHeight="1">
      <c r="A1" s="1" t="inlineStr">
        <is>
          <t>03 – SHOP MASTER | QUẢN TRỊ TỪNG SHOP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Mã Shop</t>
        </is>
      </c>
      <c r="B3" s="3" t="inlineStr">
        <is>
          <t>Tên Shop</t>
        </is>
      </c>
      <c r="C3" s="3" t="inlineStr">
        <is>
          <t>Địa bàn</t>
        </is>
      </c>
      <c r="D3" s="3" t="inlineStr">
        <is>
          <t>NPP</t>
        </is>
      </c>
      <c r="E3" s="3" t="inlineStr">
        <is>
          <t>ASM</t>
        </is>
      </c>
      <c r="F3" s="3" t="inlineStr">
        <is>
          <t>Hạng A/B/C</t>
        </is>
      </c>
      <c r="G3" s="3" t="inlineStr">
        <is>
          <t>Trạng thái</t>
        </is>
      </c>
      <c r="H3" s="3" t="inlineStr">
        <is>
          <t>Ngày mua gần nhất</t>
        </is>
      </c>
      <c r="I3" s="3" t="inlineStr">
        <is>
          <t>SKU DKX</t>
        </is>
      </c>
      <c r="J3" s="3" t="inlineStr">
        <is>
          <t>DS 30D</t>
        </is>
      </c>
      <c r="K3" s="3" t="inlineStr">
        <is>
          <t>Tần suất</t>
        </is>
      </c>
      <c r="L3" s="3" t="inlineStr">
        <is>
          <t>Sell-out 30D</t>
        </is>
      </c>
      <c r="M3" s="3" t="inlineStr">
        <is>
          <t>Tồn kho</t>
        </is>
      </c>
      <c r="N3" s="3" t="inlineStr">
        <is>
          <t>Ngày tồn</t>
        </is>
      </c>
      <c r="O3" s="3" t="inlineStr">
        <is>
          <t>Tiềm năng/tháng</t>
        </is>
      </c>
      <c r="P3" s="3" t="inlineStr">
        <is>
          <t>GAP DS</t>
        </is>
      </c>
      <c r="Q3" s="3" t="inlineStr">
        <is>
          <t>Vấn đề</t>
        </is>
      </c>
      <c r="R3" s="3" t="inlineStr">
        <is>
          <t>Giải pháp</t>
        </is>
      </c>
      <c r="S3" s="3" t="inlineStr">
        <is>
          <t>Follow-up</t>
        </is>
      </c>
      <c r="T3" s="3" t="inlineStr">
        <is>
          <t>Kết quả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>
        <f>MAX(0,O4-J4)</f>
        <v/>
      </c>
      <c r="Q4" s="4" t="n"/>
      <c r="R4" s="4" t="n"/>
      <c r="S4" s="4" t="n"/>
      <c r="T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>
        <f>MAX(0,O5-J5)</f>
        <v/>
      </c>
      <c r="Q5" s="4" t="n"/>
      <c r="R5" s="4" t="n"/>
      <c r="S5" s="4" t="n"/>
      <c r="T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>
        <f>MAX(0,O6-J6)</f>
        <v/>
      </c>
      <c r="Q6" s="4" t="n"/>
      <c r="R6" s="4" t="n"/>
      <c r="S6" s="4" t="n"/>
      <c r="T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>
        <f>MAX(0,O7-J7)</f>
        <v/>
      </c>
      <c r="Q7" s="4" t="n"/>
      <c r="R7" s="4" t="n"/>
      <c r="S7" s="4" t="n"/>
      <c r="T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>
        <f>MAX(0,O8-J8)</f>
        <v/>
      </c>
      <c r="Q8" s="4" t="n"/>
      <c r="R8" s="4" t="n"/>
      <c r="S8" s="4" t="n"/>
      <c r="T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>
        <f>MAX(0,O9-J9)</f>
        <v/>
      </c>
      <c r="Q9" s="4" t="n"/>
      <c r="R9" s="4" t="n"/>
      <c r="S9" s="4" t="n"/>
      <c r="T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>
        <f>MAX(0,O10-J10)</f>
        <v/>
      </c>
      <c r="Q10" s="4" t="n"/>
      <c r="R10" s="4" t="n"/>
      <c r="S10" s="4" t="n"/>
      <c r="T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>
        <f>MAX(0,O11-J11)</f>
        <v/>
      </c>
      <c r="Q11" s="4" t="n"/>
      <c r="R11" s="4" t="n"/>
      <c r="S11" s="4" t="n"/>
      <c r="T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>
        <f>MAX(0,O12-J12)</f>
        <v/>
      </c>
      <c r="Q12" s="4" t="n"/>
      <c r="R12" s="4" t="n"/>
      <c r="S12" s="4" t="n"/>
      <c r="T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>
        <f>MAX(0,O13-J13)</f>
        <v/>
      </c>
      <c r="Q13" s="4" t="n"/>
      <c r="R13" s="4" t="n"/>
      <c r="S13" s="4" t="n"/>
      <c r="T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>
        <f>MAX(0,O14-J14)</f>
        <v/>
      </c>
      <c r="Q14" s="4" t="n"/>
      <c r="R14" s="4" t="n"/>
      <c r="S14" s="4" t="n"/>
      <c r="T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>
        <f>MAX(0,O15-J15)</f>
        <v/>
      </c>
      <c r="Q15" s="4" t="n"/>
      <c r="R15" s="4" t="n"/>
      <c r="S15" s="4" t="n"/>
      <c r="T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>
        <f>MAX(0,O16-J16)</f>
        <v/>
      </c>
      <c r="Q16" s="4" t="n"/>
      <c r="R16" s="4" t="n"/>
      <c r="S16" s="4" t="n"/>
      <c r="T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>
        <f>MAX(0,O17-J17)</f>
        <v/>
      </c>
      <c r="Q17" s="4" t="n"/>
      <c r="R17" s="4" t="n"/>
      <c r="S17" s="4" t="n"/>
      <c r="T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>
        <f>MAX(0,O18-J18)</f>
        <v/>
      </c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>
        <f>MAX(0,O19-J19)</f>
        <v/>
      </c>
      <c r="Q19" s="4" t="n"/>
      <c r="R19" s="4" t="n"/>
      <c r="S19" s="4" t="n"/>
      <c r="T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>
        <f>MAX(0,O20-J20)</f>
        <v/>
      </c>
      <c r="Q20" s="4" t="n"/>
      <c r="R20" s="4" t="n"/>
      <c r="S20" s="4" t="n"/>
      <c r="T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>
        <f>MAX(0,O21-J21)</f>
        <v/>
      </c>
      <c r="Q21" s="4" t="n"/>
      <c r="R21" s="4" t="n"/>
      <c r="S21" s="4" t="n"/>
      <c r="T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>
        <f>MAX(0,O22-J22)</f>
        <v/>
      </c>
      <c r="Q22" s="4" t="n"/>
      <c r="R22" s="4" t="n"/>
      <c r="S22" s="4" t="n"/>
      <c r="T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>
        <f>MAX(0,O23-J23)</f>
        <v/>
      </c>
      <c r="Q23" s="4" t="n"/>
      <c r="R23" s="4" t="n"/>
      <c r="S23" s="4" t="n"/>
      <c r="T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>
        <f>MAX(0,O24-J24)</f>
        <v/>
      </c>
      <c r="Q24" s="4" t="n"/>
      <c r="R24" s="4" t="n"/>
      <c r="S24" s="4" t="n"/>
      <c r="T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>
        <f>MAX(0,O25-J25)</f>
        <v/>
      </c>
      <c r="Q25" s="4" t="n"/>
      <c r="R25" s="4" t="n"/>
      <c r="S25" s="4" t="n"/>
      <c r="T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>
        <f>MAX(0,O26-J26)</f>
        <v/>
      </c>
      <c r="Q26" s="4" t="n"/>
      <c r="R26" s="4" t="n"/>
      <c r="S26" s="4" t="n"/>
      <c r="T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>
        <f>MAX(0,O27-J27)</f>
        <v/>
      </c>
      <c r="Q27" s="4" t="n"/>
      <c r="R27" s="4" t="n"/>
      <c r="S27" s="4" t="n"/>
      <c r="T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>
        <f>MAX(0,O28-J28)</f>
        <v/>
      </c>
      <c r="Q28" s="4" t="n"/>
      <c r="R28" s="4" t="n"/>
      <c r="S28" s="4" t="n"/>
      <c r="T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>
        <f>MAX(0,O29-J29)</f>
        <v/>
      </c>
      <c r="Q29" s="4" t="n"/>
      <c r="R29" s="4" t="n"/>
      <c r="S29" s="4" t="n"/>
      <c r="T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>
        <f>MAX(0,O30-J30)</f>
        <v/>
      </c>
      <c r="Q30" s="4" t="n"/>
      <c r="R30" s="4" t="n"/>
      <c r="S30" s="4" t="n"/>
      <c r="T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>
        <f>MAX(0,O31-J31)</f>
        <v/>
      </c>
      <c r="Q31" s="4" t="n"/>
      <c r="R31" s="4" t="n"/>
      <c r="S31" s="4" t="n"/>
      <c r="T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>
        <f>MAX(0,O32-J32)</f>
        <v/>
      </c>
      <c r="Q32" s="4" t="n"/>
      <c r="R32" s="4" t="n"/>
      <c r="S32" s="4" t="n"/>
      <c r="T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>
        <f>MAX(0,O33-J33)</f>
        <v/>
      </c>
      <c r="Q33" s="4" t="n"/>
      <c r="R33" s="4" t="n"/>
      <c r="S33" s="4" t="n"/>
      <c r="T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>
        <f>MAX(0,O34-J34)</f>
        <v/>
      </c>
      <c r="Q34" s="4" t="n"/>
      <c r="R34" s="4" t="n"/>
      <c r="S34" s="4" t="n"/>
      <c r="T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>
        <f>MAX(0,O35-J35)</f>
        <v/>
      </c>
      <c r="Q35" s="4" t="n"/>
      <c r="R35" s="4" t="n"/>
      <c r="S35" s="4" t="n"/>
      <c r="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>
        <f>MAX(0,O36-J36)</f>
        <v/>
      </c>
      <c r="Q36" s="4" t="n"/>
      <c r="R36" s="4" t="n"/>
      <c r="S36" s="4" t="n"/>
      <c r="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>
        <f>MAX(0,O37-J37)</f>
        <v/>
      </c>
      <c r="Q37" s="4" t="n"/>
      <c r="R37" s="4" t="n"/>
      <c r="S37" s="4" t="n"/>
      <c r="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>
        <f>MAX(0,O38-J38)</f>
        <v/>
      </c>
      <c r="Q38" s="4" t="n"/>
      <c r="R38" s="4" t="n"/>
      <c r="S38" s="4" t="n"/>
      <c r="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>
        <f>MAX(0,O39-J39)</f>
        <v/>
      </c>
      <c r="Q39" s="4" t="n"/>
      <c r="R39" s="4" t="n"/>
      <c r="S39" s="4" t="n"/>
      <c r="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>
        <f>MAX(0,O40-J40)</f>
        <v/>
      </c>
      <c r="Q40" s="4" t="n"/>
      <c r="R40" s="4" t="n"/>
      <c r="S40" s="4" t="n"/>
      <c r="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>
        <f>MAX(0,O41-J41)</f>
        <v/>
      </c>
      <c r="Q41" s="4" t="n"/>
      <c r="R41" s="4" t="n"/>
      <c r="S41" s="4" t="n"/>
      <c r="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>
        <f>MAX(0,O42-J42)</f>
        <v/>
      </c>
      <c r="Q42" s="4" t="n"/>
      <c r="R42" s="4" t="n"/>
      <c r="S42" s="4" t="n"/>
      <c r="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>
        <f>MAX(0,O43-J43)</f>
        <v/>
      </c>
      <c r="Q43" s="4" t="n"/>
      <c r="R43" s="4" t="n"/>
      <c r="S43" s="4" t="n"/>
      <c r="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>
        <f>MAX(0,O44-J44)</f>
        <v/>
      </c>
      <c r="Q44" s="4" t="n"/>
      <c r="R44" s="4" t="n"/>
      <c r="S44" s="4" t="n"/>
      <c r="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>
        <f>MAX(0,O45-J45)</f>
        <v/>
      </c>
      <c r="Q45" s="4" t="n"/>
      <c r="R45" s="4" t="n"/>
      <c r="S45" s="4" t="n"/>
      <c r="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>
        <f>MAX(0,O46-J46)</f>
        <v/>
      </c>
      <c r="Q46" s="4" t="n"/>
      <c r="R46" s="4" t="n"/>
      <c r="S46" s="4" t="n"/>
      <c r="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>
        <f>MAX(0,O47-J47)</f>
        <v/>
      </c>
      <c r="Q47" s="4" t="n"/>
      <c r="R47" s="4" t="n"/>
      <c r="S47" s="4" t="n"/>
      <c r="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>
        <f>MAX(0,O48-J48)</f>
        <v/>
      </c>
      <c r="Q48" s="4" t="n"/>
      <c r="R48" s="4" t="n"/>
      <c r="S48" s="4" t="n"/>
      <c r="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>
        <f>MAX(0,O49-J49)</f>
        <v/>
      </c>
      <c r="Q49" s="4" t="n"/>
      <c r="R49" s="4" t="n"/>
      <c r="S49" s="4" t="n"/>
      <c r="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>
        <f>MAX(0,O50-J50)</f>
        <v/>
      </c>
      <c r="Q50" s="4" t="n"/>
      <c r="R50" s="4" t="n"/>
      <c r="S50" s="4" t="n"/>
      <c r="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>
        <f>MAX(0,O51-J51)</f>
        <v/>
      </c>
      <c r="Q51" s="4" t="n"/>
      <c r="R51" s="4" t="n"/>
      <c r="S51" s="4" t="n"/>
      <c r="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>
        <f>MAX(0,O52-J52)</f>
        <v/>
      </c>
      <c r="Q52" s="4" t="n"/>
      <c r="R52" s="4" t="n"/>
      <c r="S52" s="4" t="n"/>
      <c r="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>
        <f>MAX(0,O53-J53)</f>
        <v/>
      </c>
      <c r="Q53" s="4" t="n"/>
      <c r="R53" s="4" t="n"/>
      <c r="S53" s="4" t="n"/>
      <c r="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>
        <f>MAX(0,O54-J54)</f>
        <v/>
      </c>
      <c r="Q54" s="4" t="n"/>
      <c r="R54" s="4" t="n"/>
      <c r="S54" s="4" t="n"/>
      <c r="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>
        <f>MAX(0,O55-J55)</f>
        <v/>
      </c>
      <c r="Q55" s="4" t="n"/>
      <c r="R55" s="4" t="n"/>
      <c r="S55" s="4" t="n"/>
      <c r="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>
        <f>MAX(0,O56-J56)</f>
        <v/>
      </c>
      <c r="Q56" s="4" t="n"/>
      <c r="R56" s="4" t="n"/>
      <c r="S56" s="4" t="n"/>
      <c r="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>
        <f>MAX(0,O57-J57)</f>
        <v/>
      </c>
      <c r="Q57" s="4" t="n"/>
      <c r="R57" s="4" t="n"/>
      <c r="S57" s="4" t="n"/>
      <c r="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>
        <f>MAX(0,O58-J58)</f>
        <v/>
      </c>
      <c r="Q58" s="4" t="n"/>
      <c r="R58" s="4" t="n"/>
      <c r="S58" s="4" t="n"/>
      <c r="T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>
        <f>MAX(0,O59-J59)</f>
        <v/>
      </c>
      <c r="Q59" s="4" t="n"/>
      <c r="R59" s="4" t="n"/>
      <c r="S59" s="4" t="n"/>
      <c r="T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>
        <f>MAX(0,O60-J60)</f>
        <v/>
      </c>
      <c r="Q60" s="4" t="n"/>
      <c r="R60" s="4" t="n"/>
      <c r="S60" s="4" t="n"/>
      <c r="T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>
        <f>MAX(0,O61-J61)</f>
        <v/>
      </c>
      <c r="Q61" s="4" t="n"/>
      <c r="R61" s="4" t="n"/>
      <c r="S61" s="4" t="n"/>
      <c r="T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>
        <f>MAX(0,O62-J62)</f>
        <v/>
      </c>
      <c r="Q62" s="4" t="n"/>
      <c r="R62" s="4" t="n"/>
      <c r="S62" s="4" t="n"/>
      <c r="T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>
        <f>MAX(0,O63-J63)</f>
        <v/>
      </c>
      <c r="Q63" s="4" t="n"/>
      <c r="R63" s="4" t="n"/>
      <c r="S63" s="4" t="n"/>
      <c r="T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>
        <f>MAX(0,O64-J64)</f>
        <v/>
      </c>
      <c r="Q64" s="4" t="n"/>
      <c r="R64" s="4" t="n"/>
      <c r="S64" s="4" t="n"/>
      <c r="T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>
        <f>MAX(0,O65-J65)</f>
        <v/>
      </c>
      <c r="Q65" s="4" t="n"/>
      <c r="R65" s="4" t="n"/>
      <c r="S65" s="4" t="n"/>
      <c r="T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>
        <f>MAX(0,O66-J66)</f>
        <v/>
      </c>
      <c r="Q66" s="4" t="n"/>
      <c r="R66" s="4" t="n"/>
      <c r="S66" s="4" t="n"/>
      <c r="T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>
        <f>MAX(0,O67-J67)</f>
        <v/>
      </c>
      <c r="Q67" s="4" t="n"/>
      <c r="R67" s="4" t="n"/>
      <c r="S67" s="4" t="n"/>
      <c r="T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>
        <f>MAX(0,O68-J68)</f>
        <v/>
      </c>
      <c r="Q68" s="4" t="n"/>
      <c r="R68" s="4" t="n"/>
      <c r="S68" s="4" t="n"/>
      <c r="T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>
        <f>MAX(0,O69-J69)</f>
        <v/>
      </c>
      <c r="Q69" s="4" t="n"/>
      <c r="R69" s="4" t="n"/>
      <c r="S69" s="4" t="n"/>
      <c r="T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>
        <f>MAX(0,O70-J70)</f>
        <v/>
      </c>
      <c r="Q70" s="4" t="n"/>
      <c r="R70" s="4" t="n"/>
      <c r="S70" s="4" t="n"/>
      <c r="T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>
        <f>MAX(0,O71-J71)</f>
        <v/>
      </c>
      <c r="Q71" s="4" t="n"/>
      <c r="R71" s="4" t="n"/>
      <c r="S71" s="4" t="n"/>
      <c r="T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>
        <f>MAX(0,O72-J72)</f>
        <v/>
      </c>
      <c r="Q72" s="4" t="n"/>
      <c r="R72" s="4" t="n"/>
      <c r="S72" s="4" t="n"/>
      <c r="T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>
        <f>MAX(0,O73-J73)</f>
        <v/>
      </c>
      <c r="Q73" s="4" t="n"/>
      <c r="R73" s="4" t="n"/>
      <c r="S73" s="4" t="n"/>
      <c r="T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>
        <f>MAX(0,O74-J74)</f>
        <v/>
      </c>
      <c r="Q74" s="4" t="n"/>
      <c r="R74" s="4" t="n"/>
      <c r="S74" s="4" t="n"/>
      <c r="T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>
        <f>MAX(0,O75-J75)</f>
        <v/>
      </c>
      <c r="Q75" s="4" t="n"/>
      <c r="R75" s="4" t="n"/>
      <c r="S75" s="4" t="n"/>
      <c r="T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>
        <f>MAX(0,O76-J76)</f>
        <v/>
      </c>
      <c r="Q76" s="4" t="n"/>
      <c r="R76" s="4" t="n"/>
      <c r="S76" s="4" t="n"/>
      <c r="T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>
        <f>MAX(0,O77-J77)</f>
        <v/>
      </c>
      <c r="Q77" s="4" t="n"/>
      <c r="R77" s="4" t="n"/>
      <c r="S77" s="4" t="n"/>
      <c r="T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>
        <f>MAX(0,O78-J78)</f>
        <v/>
      </c>
      <c r="Q78" s="4" t="n"/>
      <c r="R78" s="4" t="n"/>
      <c r="S78" s="4" t="n"/>
      <c r="T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>
        <f>MAX(0,O79-J79)</f>
        <v/>
      </c>
      <c r="Q79" s="4" t="n"/>
      <c r="R79" s="4" t="n"/>
      <c r="S79" s="4" t="n"/>
      <c r="T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>
        <f>MAX(0,O80-J80)</f>
        <v/>
      </c>
      <c r="Q80" s="4" t="n"/>
      <c r="R80" s="4" t="n"/>
      <c r="S80" s="4" t="n"/>
      <c r="T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>
        <f>MAX(0,O81-J81)</f>
        <v/>
      </c>
      <c r="Q81" s="4" t="n"/>
      <c r="R81" s="4" t="n"/>
      <c r="S81" s="4" t="n"/>
      <c r="T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>
        <f>MAX(0,O82-J82)</f>
        <v/>
      </c>
      <c r="Q82" s="4" t="n"/>
      <c r="R82" s="4" t="n"/>
      <c r="S82" s="4" t="n"/>
      <c r="T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>
        <f>MAX(0,O83-J83)</f>
        <v/>
      </c>
      <c r="Q83" s="4" t="n"/>
      <c r="R83" s="4" t="n"/>
      <c r="S83" s="4" t="n"/>
      <c r="T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>
        <f>MAX(0,O84-J84)</f>
        <v/>
      </c>
      <c r="Q84" s="4" t="n"/>
      <c r="R84" s="4" t="n"/>
      <c r="S84" s="4" t="n"/>
      <c r="T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>
        <f>MAX(0,O85-J85)</f>
        <v/>
      </c>
      <c r="Q85" s="4" t="n"/>
      <c r="R85" s="4" t="n"/>
      <c r="S85" s="4" t="n"/>
      <c r="T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>
        <f>MAX(0,O86-J86)</f>
        <v/>
      </c>
      <c r="Q86" s="4" t="n"/>
      <c r="R86" s="4" t="n"/>
      <c r="S86" s="4" t="n"/>
      <c r="T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>
        <f>MAX(0,O87-J87)</f>
        <v/>
      </c>
      <c r="Q87" s="4" t="n"/>
      <c r="R87" s="4" t="n"/>
      <c r="S87" s="4" t="n"/>
      <c r="T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>
        <f>MAX(0,O88-J88)</f>
        <v/>
      </c>
      <c r="Q88" s="4" t="n"/>
      <c r="R88" s="4" t="n"/>
      <c r="S88" s="4" t="n"/>
      <c r="T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>
        <f>MAX(0,O89-J89)</f>
        <v/>
      </c>
      <c r="Q89" s="4" t="n"/>
      <c r="R89" s="4" t="n"/>
      <c r="S89" s="4" t="n"/>
      <c r="T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>
        <f>MAX(0,O90-J90)</f>
        <v/>
      </c>
      <c r="Q90" s="4" t="n"/>
      <c r="R90" s="4" t="n"/>
      <c r="S90" s="4" t="n"/>
      <c r="T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>
        <f>MAX(0,O91-J91)</f>
        <v/>
      </c>
      <c r="Q91" s="4" t="n"/>
      <c r="R91" s="4" t="n"/>
      <c r="S91" s="4" t="n"/>
      <c r="T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>
        <f>MAX(0,O92-J92)</f>
        <v/>
      </c>
      <c r="Q92" s="4" t="n"/>
      <c r="R92" s="4" t="n"/>
      <c r="S92" s="4" t="n"/>
      <c r="T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>
        <f>MAX(0,O93-J93)</f>
        <v/>
      </c>
      <c r="Q93" s="4" t="n"/>
      <c r="R93" s="4" t="n"/>
      <c r="S93" s="4" t="n"/>
      <c r="T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>
        <f>MAX(0,O94-J94)</f>
        <v/>
      </c>
      <c r="Q94" s="4" t="n"/>
      <c r="R94" s="4" t="n"/>
      <c r="S94" s="4" t="n"/>
      <c r="T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>
        <f>MAX(0,O95-J95)</f>
        <v/>
      </c>
      <c r="Q95" s="4" t="n"/>
      <c r="R95" s="4" t="n"/>
      <c r="S95" s="4" t="n"/>
      <c r="T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>
        <f>MAX(0,O96-J96)</f>
        <v/>
      </c>
      <c r="Q96" s="4" t="n"/>
      <c r="R96" s="4" t="n"/>
      <c r="S96" s="4" t="n"/>
      <c r="T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>
        <f>MAX(0,O97-J97)</f>
        <v/>
      </c>
      <c r="Q97" s="4" t="n"/>
      <c r="R97" s="4" t="n"/>
      <c r="S97" s="4" t="n"/>
      <c r="T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>
        <f>MAX(0,O98-J98)</f>
        <v/>
      </c>
      <c r="Q98" s="4" t="n"/>
      <c r="R98" s="4" t="n"/>
      <c r="S98" s="4" t="n"/>
      <c r="T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>
        <f>MAX(0,O99-J99)</f>
        <v/>
      </c>
      <c r="Q99" s="4" t="n"/>
      <c r="R99" s="4" t="n"/>
      <c r="S99" s="4" t="n"/>
      <c r="T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>
        <f>MAX(0,O100-J100)</f>
        <v/>
      </c>
      <c r="Q100" s="4" t="n"/>
      <c r="R100" s="4" t="n"/>
      <c r="S100" s="4" t="n"/>
      <c r="T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>
        <f>MAX(0,O101-J101)</f>
        <v/>
      </c>
      <c r="Q101" s="4" t="n"/>
      <c r="R101" s="4" t="n"/>
      <c r="S101" s="4" t="n"/>
      <c r="T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>
        <f>MAX(0,O102-J102)</f>
        <v/>
      </c>
      <c r="Q102" s="4" t="n"/>
      <c r="R102" s="4" t="n"/>
      <c r="S102" s="4" t="n"/>
      <c r="T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>
        <f>MAX(0,O103-J103)</f>
        <v/>
      </c>
      <c r="Q103" s="4" t="n"/>
      <c r="R103" s="4" t="n"/>
      <c r="S103" s="4" t="n"/>
      <c r="T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>
        <f>MAX(0,O104-J104)</f>
        <v/>
      </c>
      <c r="Q104" s="4" t="n"/>
      <c r="R104" s="4" t="n"/>
      <c r="S104" s="4" t="n"/>
      <c r="T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>
        <f>MAX(0,O105-J105)</f>
        <v/>
      </c>
      <c r="Q105" s="4" t="n"/>
      <c r="R105" s="4" t="n"/>
      <c r="S105" s="4" t="n"/>
      <c r="T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>
        <f>MAX(0,O106-J106)</f>
        <v/>
      </c>
      <c r="Q106" s="4" t="n"/>
      <c r="R106" s="4" t="n"/>
      <c r="S106" s="4" t="n"/>
      <c r="T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>
        <f>MAX(0,O107-J107)</f>
        <v/>
      </c>
      <c r="Q107" s="4" t="n"/>
      <c r="R107" s="4" t="n"/>
      <c r="S107" s="4" t="n"/>
      <c r="T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>
        <f>MAX(0,O108-J108)</f>
        <v/>
      </c>
      <c r="Q108" s="4" t="n"/>
      <c r="R108" s="4" t="n"/>
      <c r="S108" s="4" t="n"/>
      <c r="T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>
        <f>MAX(0,O109-J109)</f>
        <v/>
      </c>
      <c r="Q109" s="4" t="n"/>
      <c r="R109" s="4" t="n"/>
      <c r="S109" s="4" t="n"/>
      <c r="T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>
        <f>MAX(0,O110-J110)</f>
        <v/>
      </c>
      <c r="Q110" s="4" t="n"/>
      <c r="R110" s="4" t="n"/>
      <c r="S110" s="4" t="n"/>
      <c r="T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>
        <f>MAX(0,O111-J111)</f>
        <v/>
      </c>
      <c r="Q111" s="4" t="n"/>
      <c r="R111" s="4" t="n"/>
      <c r="S111" s="4" t="n"/>
      <c r="T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>
        <f>MAX(0,O112-J112)</f>
        <v/>
      </c>
      <c r="Q112" s="4" t="n"/>
      <c r="R112" s="4" t="n"/>
      <c r="S112" s="4" t="n"/>
      <c r="T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>
        <f>MAX(0,O113-J113)</f>
        <v/>
      </c>
      <c r="Q113" s="4" t="n"/>
      <c r="R113" s="4" t="n"/>
      <c r="S113" s="4" t="n"/>
      <c r="T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>
        <f>MAX(0,O114-J114)</f>
        <v/>
      </c>
      <c r="Q114" s="4" t="n"/>
      <c r="R114" s="4" t="n"/>
      <c r="S114" s="4" t="n"/>
      <c r="T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>
        <f>MAX(0,O115-J115)</f>
        <v/>
      </c>
      <c r="Q115" s="4" t="n"/>
      <c r="R115" s="4" t="n"/>
      <c r="S115" s="4" t="n"/>
      <c r="T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>
        <f>MAX(0,O116-J116)</f>
        <v/>
      </c>
      <c r="Q116" s="4" t="n"/>
      <c r="R116" s="4" t="n"/>
      <c r="S116" s="4" t="n"/>
      <c r="T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>
        <f>MAX(0,O117-J117)</f>
        <v/>
      </c>
      <c r="Q117" s="4" t="n"/>
      <c r="R117" s="4" t="n"/>
      <c r="S117" s="4" t="n"/>
      <c r="T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>
        <f>MAX(0,O118-J118)</f>
        <v/>
      </c>
      <c r="Q118" s="4" t="n"/>
      <c r="R118" s="4" t="n"/>
      <c r="S118" s="4" t="n"/>
      <c r="T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>
        <f>MAX(0,O119-J119)</f>
        <v/>
      </c>
      <c r="Q119" s="4" t="n"/>
      <c r="R119" s="4" t="n"/>
      <c r="S119" s="4" t="n"/>
      <c r="T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>
        <f>MAX(0,O120-J120)</f>
        <v/>
      </c>
      <c r="Q120" s="4" t="n"/>
      <c r="R120" s="4" t="n"/>
      <c r="S120" s="4" t="n"/>
      <c r="T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>
        <f>MAX(0,O121-J121)</f>
        <v/>
      </c>
      <c r="Q121" s="4" t="n"/>
      <c r="R121" s="4" t="n"/>
      <c r="S121" s="4" t="n"/>
      <c r="T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>
        <f>MAX(0,O122-J122)</f>
        <v/>
      </c>
      <c r="Q122" s="4" t="n"/>
      <c r="R122" s="4" t="n"/>
      <c r="S122" s="4" t="n"/>
      <c r="T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>
        <f>MAX(0,O123-J123)</f>
        <v/>
      </c>
      <c r="Q123" s="4" t="n"/>
      <c r="R123" s="4" t="n"/>
      <c r="S123" s="4" t="n"/>
      <c r="T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>
        <f>MAX(0,O124-J124)</f>
        <v/>
      </c>
      <c r="Q124" s="4" t="n"/>
      <c r="R124" s="4" t="n"/>
      <c r="S124" s="4" t="n"/>
      <c r="T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>
        <f>MAX(0,O125-J125)</f>
        <v/>
      </c>
      <c r="Q125" s="4" t="n"/>
      <c r="R125" s="4" t="n"/>
      <c r="S125" s="4" t="n"/>
      <c r="T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>
        <f>MAX(0,O126-J126)</f>
        <v/>
      </c>
      <c r="Q126" s="4" t="n"/>
      <c r="R126" s="4" t="n"/>
      <c r="S126" s="4" t="n"/>
      <c r="T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>
        <f>MAX(0,O127-J127)</f>
        <v/>
      </c>
      <c r="Q127" s="4" t="n"/>
      <c r="R127" s="4" t="n"/>
      <c r="S127" s="4" t="n"/>
      <c r="T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>
        <f>MAX(0,O128-J128)</f>
        <v/>
      </c>
      <c r="Q128" s="4" t="n"/>
      <c r="R128" s="4" t="n"/>
      <c r="S128" s="4" t="n"/>
      <c r="T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>
        <f>MAX(0,O129-J129)</f>
        <v/>
      </c>
      <c r="Q129" s="4" t="n"/>
      <c r="R129" s="4" t="n"/>
      <c r="S129" s="4" t="n"/>
      <c r="T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>
        <f>MAX(0,O130-J130)</f>
        <v/>
      </c>
      <c r="Q130" s="4" t="n"/>
      <c r="R130" s="4" t="n"/>
      <c r="S130" s="4" t="n"/>
      <c r="T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>
        <f>MAX(0,O131-J131)</f>
        <v/>
      </c>
      <c r="Q131" s="4" t="n"/>
      <c r="R131" s="4" t="n"/>
      <c r="S131" s="4" t="n"/>
      <c r="T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>
        <f>MAX(0,O132-J132)</f>
        <v/>
      </c>
      <c r="Q132" s="4" t="n"/>
      <c r="R132" s="4" t="n"/>
      <c r="S132" s="4" t="n"/>
      <c r="T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>
        <f>MAX(0,O133-J133)</f>
        <v/>
      </c>
      <c r="Q133" s="4" t="n"/>
      <c r="R133" s="4" t="n"/>
      <c r="S133" s="4" t="n"/>
      <c r="T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>
        <f>MAX(0,O134-J134)</f>
        <v/>
      </c>
      <c r="Q134" s="4" t="n"/>
      <c r="R134" s="4" t="n"/>
      <c r="S134" s="4" t="n"/>
      <c r="T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>
        <f>MAX(0,O135-J135)</f>
        <v/>
      </c>
      <c r="Q135" s="4" t="n"/>
      <c r="R135" s="4" t="n"/>
      <c r="S135" s="4" t="n"/>
      <c r="T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>
        <f>MAX(0,O136-J136)</f>
        <v/>
      </c>
      <c r="Q136" s="4" t="n"/>
      <c r="R136" s="4" t="n"/>
      <c r="S136" s="4" t="n"/>
      <c r="T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>
        <f>MAX(0,O137-J137)</f>
        <v/>
      </c>
      <c r="Q137" s="4" t="n"/>
      <c r="R137" s="4" t="n"/>
      <c r="S137" s="4" t="n"/>
      <c r="T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>
        <f>MAX(0,O138-J138)</f>
        <v/>
      </c>
      <c r="Q138" s="4" t="n"/>
      <c r="R138" s="4" t="n"/>
      <c r="S138" s="4" t="n"/>
      <c r="T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>
        <f>MAX(0,O139-J139)</f>
        <v/>
      </c>
      <c r="Q139" s="4" t="n"/>
      <c r="R139" s="4" t="n"/>
      <c r="S139" s="4" t="n"/>
      <c r="T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>
        <f>MAX(0,O140-J140)</f>
        <v/>
      </c>
      <c r="Q140" s="4" t="n"/>
      <c r="R140" s="4" t="n"/>
      <c r="S140" s="4" t="n"/>
      <c r="T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>
        <f>MAX(0,O141-J141)</f>
        <v/>
      </c>
      <c r="Q141" s="4" t="n"/>
      <c r="R141" s="4" t="n"/>
      <c r="S141" s="4" t="n"/>
      <c r="T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>
        <f>MAX(0,O142-J142)</f>
        <v/>
      </c>
      <c r="Q142" s="4" t="n"/>
      <c r="R142" s="4" t="n"/>
      <c r="S142" s="4" t="n"/>
      <c r="T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>
        <f>MAX(0,O143-J143)</f>
        <v/>
      </c>
      <c r="Q143" s="4" t="n"/>
      <c r="R143" s="4" t="n"/>
      <c r="S143" s="4" t="n"/>
      <c r="T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>
        <f>MAX(0,O144-J144)</f>
        <v/>
      </c>
      <c r="Q144" s="4" t="n"/>
      <c r="R144" s="4" t="n"/>
      <c r="S144" s="4" t="n"/>
      <c r="T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>
        <f>MAX(0,O145-J145)</f>
        <v/>
      </c>
      <c r="Q145" s="4" t="n"/>
      <c r="R145" s="4" t="n"/>
      <c r="S145" s="4" t="n"/>
      <c r="T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>
        <f>MAX(0,O146-J146)</f>
        <v/>
      </c>
      <c r="Q146" s="4" t="n"/>
      <c r="R146" s="4" t="n"/>
      <c r="S146" s="4" t="n"/>
      <c r="T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>
        <f>MAX(0,O147-J147)</f>
        <v/>
      </c>
      <c r="Q147" s="4" t="n"/>
      <c r="R147" s="4" t="n"/>
      <c r="S147" s="4" t="n"/>
      <c r="T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>
        <f>MAX(0,O148-J148)</f>
        <v/>
      </c>
      <c r="Q148" s="4" t="n"/>
      <c r="R148" s="4" t="n"/>
      <c r="S148" s="4" t="n"/>
      <c r="T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>
        <f>MAX(0,O149-J149)</f>
        <v/>
      </c>
      <c r="Q149" s="4" t="n"/>
      <c r="R149" s="4" t="n"/>
      <c r="S149" s="4" t="n"/>
      <c r="T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>
        <f>MAX(0,O150-J150)</f>
        <v/>
      </c>
      <c r="Q150" s="4" t="n"/>
      <c r="R150" s="4" t="n"/>
      <c r="S150" s="4" t="n"/>
      <c r="T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>
        <f>MAX(0,O151-J151)</f>
        <v/>
      </c>
      <c r="Q151" s="4" t="n"/>
      <c r="R151" s="4" t="n"/>
      <c r="S151" s="4" t="n"/>
      <c r="T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>
        <f>MAX(0,O152-J152)</f>
        <v/>
      </c>
      <c r="Q152" s="4" t="n"/>
      <c r="R152" s="4" t="n"/>
      <c r="S152" s="4" t="n"/>
      <c r="T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>
        <f>MAX(0,O153-J153)</f>
        <v/>
      </c>
      <c r="Q153" s="4" t="n"/>
      <c r="R153" s="4" t="n"/>
      <c r="S153" s="4" t="n"/>
      <c r="T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>
        <f>MAX(0,O154-J154)</f>
        <v/>
      </c>
      <c r="Q154" s="4" t="n"/>
      <c r="R154" s="4" t="n"/>
      <c r="S154" s="4" t="n"/>
      <c r="T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>
        <f>MAX(0,O155-J155)</f>
        <v/>
      </c>
      <c r="Q155" s="4" t="n"/>
      <c r="R155" s="4" t="n"/>
      <c r="S155" s="4" t="n"/>
      <c r="T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>
        <f>MAX(0,O156-J156)</f>
        <v/>
      </c>
      <c r="Q156" s="4" t="n"/>
      <c r="R156" s="4" t="n"/>
      <c r="S156" s="4" t="n"/>
      <c r="T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>
        <f>MAX(0,O157-J157)</f>
        <v/>
      </c>
      <c r="Q157" s="4" t="n"/>
      <c r="R157" s="4" t="n"/>
      <c r="S157" s="4" t="n"/>
      <c r="T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>
        <f>MAX(0,O158-J158)</f>
        <v/>
      </c>
      <c r="Q158" s="4" t="n"/>
      <c r="R158" s="4" t="n"/>
      <c r="S158" s="4" t="n"/>
      <c r="T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>
        <f>MAX(0,O159-J159)</f>
        <v/>
      </c>
      <c r="Q159" s="4" t="n"/>
      <c r="R159" s="4" t="n"/>
      <c r="S159" s="4" t="n"/>
      <c r="T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>
        <f>MAX(0,O160-J160)</f>
        <v/>
      </c>
      <c r="Q160" s="4" t="n"/>
      <c r="R160" s="4" t="n"/>
      <c r="S160" s="4" t="n"/>
      <c r="T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>
        <f>MAX(0,O161-J161)</f>
        <v/>
      </c>
      <c r="Q161" s="4" t="n"/>
      <c r="R161" s="4" t="n"/>
      <c r="S161" s="4" t="n"/>
      <c r="T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>
        <f>MAX(0,O162-J162)</f>
        <v/>
      </c>
      <c r="Q162" s="4" t="n"/>
      <c r="R162" s="4" t="n"/>
      <c r="S162" s="4" t="n"/>
      <c r="T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>
        <f>MAX(0,O163-J163)</f>
        <v/>
      </c>
      <c r="Q163" s="4" t="n"/>
      <c r="R163" s="4" t="n"/>
      <c r="S163" s="4" t="n"/>
      <c r="T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>
        <f>MAX(0,O164-J164)</f>
        <v/>
      </c>
      <c r="Q164" s="4" t="n"/>
      <c r="R164" s="4" t="n"/>
      <c r="S164" s="4" t="n"/>
      <c r="T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>
        <f>MAX(0,O165-J165)</f>
        <v/>
      </c>
      <c r="Q165" s="4" t="n"/>
      <c r="R165" s="4" t="n"/>
      <c r="S165" s="4" t="n"/>
      <c r="T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>
        <f>MAX(0,O166-J166)</f>
        <v/>
      </c>
      <c r="Q166" s="4" t="n"/>
      <c r="R166" s="4" t="n"/>
      <c r="S166" s="4" t="n"/>
      <c r="T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>
        <f>MAX(0,O167-J167)</f>
        <v/>
      </c>
      <c r="Q167" s="4" t="n"/>
      <c r="R167" s="4" t="n"/>
      <c r="S167" s="4" t="n"/>
      <c r="T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>
        <f>MAX(0,O168-J168)</f>
        <v/>
      </c>
      <c r="Q168" s="4" t="n"/>
      <c r="R168" s="4" t="n"/>
      <c r="S168" s="4" t="n"/>
      <c r="T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>
        <f>MAX(0,O169-J169)</f>
        <v/>
      </c>
      <c r="Q169" s="4" t="n"/>
      <c r="R169" s="4" t="n"/>
      <c r="S169" s="4" t="n"/>
      <c r="T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>
        <f>MAX(0,O170-J170)</f>
        <v/>
      </c>
      <c r="Q170" s="4" t="n"/>
      <c r="R170" s="4" t="n"/>
      <c r="S170" s="4" t="n"/>
      <c r="T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>
        <f>MAX(0,O171-J171)</f>
        <v/>
      </c>
      <c r="Q171" s="4" t="n"/>
      <c r="R171" s="4" t="n"/>
      <c r="S171" s="4" t="n"/>
      <c r="T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>
        <f>MAX(0,O172-J172)</f>
        <v/>
      </c>
      <c r="Q172" s="4" t="n"/>
      <c r="R172" s="4" t="n"/>
      <c r="S172" s="4" t="n"/>
      <c r="T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>
        <f>MAX(0,O173-J173)</f>
        <v/>
      </c>
      <c r="Q173" s="4" t="n"/>
      <c r="R173" s="4" t="n"/>
      <c r="S173" s="4" t="n"/>
      <c r="T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>
        <f>MAX(0,O174-J174)</f>
        <v/>
      </c>
      <c r="Q174" s="4" t="n"/>
      <c r="R174" s="4" t="n"/>
      <c r="S174" s="4" t="n"/>
      <c r="T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>
        <f>MAX(0,O175-J175)</f>
        <v/>
      </c>
      <c r="Q175" s="4" t="n"/>
      <c r="R175" s="4" t="n"/>
      <c r="S175" s="4" t="n"/>
      <c r="T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>
        <f>MAX(0,O176-J176)</f>
        <v/>
      </c>
      <c r="Q176" s="4" t="n"/>
      <c r="R176" s="4" t="n"/>
      <c r="S176" s="4" t="n"/>
      <c r="T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>
        <f>MAX(0,O177-J177)</f>
        <v/>
      </c>
      <c r="Q177" s="4" t="n"/>
      <c r="R177" s="4" t="n"/>
      <c r="S177" s="4" t="n"/>
      <c r="T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>
        <f>MAX(0,O178-J178)</f>
        <v/>
      </c>
      <c r="Q178" s="4" t="n"/>
      <c r="R178" s="4" t="n"/>
      <c r="S178" s="4" t="n"/>
      <c r="T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>
        <f>MAX(0,O179-J179)</f>
        <v/>
      </c>
      <c r="Q179" s="4" t="n"/>
      <c r="R179" s="4" t="n"/>
      <c r="S179" s="4" t="n"/>
      <c r="T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>
        <f>MAX(0,O180-J180)</f>
        <v/>
      </c>
      <c r="Q180" s="4" t="n"/>
      <c r="R180" s="4" t="n"/>
      <c r="S180" s="4" t="n"/>
      <c r="T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>
        <f>MAX(0,O181-J181)</f>
        <v/>
      </c>
      <c r="Q181" s="4" t="n"/>
      <c r="R181" s="4" t="n"/>
      <c r="S181" s="4" t="n"/>
      <c r="T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>
        <f>MAX(0,O182-J182)</f>
        <v/>
      </c>
      <c r="Q182" s="4" t="n"/>
      <c r="R182" s="4" t="n"/>
      <c r="S182" s="4" t="n"/>
      <c r="T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>
        <f>MAX(0,O183-J183)</f>
        <v/>
      </c>
      <c r="Q183" s="4" t="n"/>
      <c r="R183" s="4" t="n"/>
      <c r="S183" s="4" t="n"/>
      <c r="T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>
        <f>MAX(0,O184-J184)</f>
        <v/>
      </c>
      <c r="Q184" s="4" t="n"/>
      <c r="R184" s="4" t="n"/>
      <c r="S184" s="4" t="n"/>
      <c r="T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>
        <f>MAX(0,O185-J185)</f>
        <v/>
      </c>
      <c r="Q185" s="4" t="n"/>
      <c r="R185" s="4" t="n"/>
      <c r="S185" s="4" t="n"/>
      <c r="T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>
        <f>MAX(0,O186-J186)</f>
        <v/>
      </c>
      <c r="Q186" s="4" t="n"/>
      <c r="R186" s="4" t="n"/>
      <c r="S186" s="4" t="n"/>
      <c r="T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>
        <f>MAX(0,O187-J187)</f>
        <v/>
      </c>
      <c r="Q187" s="4" t="n"/>
      <c r="R187" s="4" t="n"/>
      <c r="S187" s="4" t="n"/>
      <c r="T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>
        <f>MAX(0,O188-J188)</f>
        <v/>
      </c>
      <c r="Q188" s="4" t="n"/>
      <c r="R188" s="4" t="n"/>
      <c r="S188" s="4" t="n"/>
      <c r="T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>
        <f>MAX(0,O189-J189)</f>
        <v/>
      </c>
      <c r="Q189" s="4" t="n"/>
      <c r="R189" s="4" t="n"/>
      <c r="S189" s="4" t="n"/>
      <c r="T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>
        <f>MAX(0,O190-J190)</f>
        <v/>
      </c>
      <c r="Q190" s="4" t="n"/>
      <c r="R190" s="4" t="n"/>
      <c r="S190" s="4" t="n"/>
      <c r="T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>
        <f>MAX(0,O191-J191)</f>
        <v/>
      </c>
      <c r="Q191" s="4" t="n"/>
      <c r="R191" s="4" t="n"/>
      <c r="S191" s="4" t="n"/>
      <c r="T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>
        <f>MAX(0,O192-J192)</f>
        <v/>
      </c>
      <c r="Q192" s="4" t="n"/>
      <c r="R192" s="4" t="n"/>
      <c r="S192" s="4" t="n"/>
      <c r="T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>
        <f>MAX(0,O193-J193)</f>
        <v/>
      </c>
      <c r="Q193" s="4" t="n"/>
      <c r="R193" s="4" t="n"/>
      <c r="S193" s="4" t="n"/>
      <c r="T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>
        <f>MAX(0,O194-J194)</f>
        <v/>
      </c>
      <c r="Q194" s="4" t="n"/>
      <c r="R194" s="4" t="n"/>
      <c r="S194" s="4" t="n"/>
      <c r="T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>
        <f>MAX(0,O195-J195)</f>
        <v/>
      </c>
      <c r="Q195" s="4" t="n"/>
      <c r="R195" s="4" t="n"/>
      <c r="S195" s="4" t="n"/>
      <c r="T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>
        <f>MAX(0,O196-J196)</f>
        <v/>
      </c>
      <c r="Q196" s="4" t="n"/>
      <c r="R196" s="4" t="n"/>
      <c r="S196" s="4" t="n"/>
      <c r="T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>
        <f>MAX(0,O197-J197)</f>
        <v/>
      </c>
      <c r="Q197" s="4" t="n"/>
      <c r="R197" s="4" t="n"/>
      <c r="S197" s="4" t="n"/>
      <c r="T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>
        <f>MAX(0,O198-J198)</f>
        <v/>
      </c>
      <c r="Q198" s="4" t="n"/>
      <c r="R198" s="4" t="n"/>
      <c r="S198" s="4" t="n"/>
      <c r="T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>
        <f>MAX(0,O199-J199)</f>
        <v/>
      </c>
      <c r="Q199" s="4" t="n"/>
      <c r="R199" s="4" t="n"/>
      <c r="S199" s="4" t="n"/>
      <c r="T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>
        <f>MAX(0,O200-J200)</f>
        <v/>
      </c>
      <c r="Q200" s="4" t="n"/>
      <c r="R200" s="4" t="n"/>
      <c r="S200" s="4" t="n"/>
      <c r="T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>
        <f>MAX(0,O201-J201)</f>
        <v/>
      </c>
      <c r="Q201" s="4" t="n"/>
      <c r="R201" s="4" t="n"/>
      <c r="S201" s="4" t="n"/>
      <c r="T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>
        <f>MAX(0,O202-J202)</f>
        <v/>
      </c>
      <c r="Q202" s="4" t="n"/>
      <c r="R202" s="4" t="n"/>
      <c r="S202" s="4" t="n"/>
      <c r="T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>
        <f>MAX(0,O203-J203)</f>
        <v/>
      </c>
      <c r="Q203" s="4" t="n"/>
      <c r="R203" s="4" t="n"/>
      <c r="S203" s="4" t="n"/>
      <c r="T203" s="4" t="n"/>
    </row>
  </sheetData>
  <autoFilter ref="A3:T203"/>
  <mergeCells count="1">
    <mergeCell ref="A1:T1"/>
  </mergeCells>
  <dataValidations count="1">
    <dataValidation sqref="G4:G203" showDropDown="0" showInputMessage="0" showErrorMessage="0" allowBlank="0" type="list">
      <formula1>"Active,Dormant,Lost,Prospect,Strategic"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4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6" customWidth="1" min="14" max="14"/>
    <col width="28" customWidth="1" min="15" max="15"/>
    <col width="28" customWidth="1" min="16" max="16"/>
    <col width="18" customWidth="1" min="17" max="17"/>
    <col width="14" customWidth="1" min="18" max="18"/>
  </cols>
  <sheetData>
    <row r="1" ht="28" customHeight="1">
      <c r="A1" s="1" t="inlineStr">
        <is>
          <t>04 – SALES &amp; SELLOUT | DÒNG CHẢY HÀNG HÓA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Ngày</t>
        </is>
      </c>
      <c r="B3" s="3" t="inlineStr">
        <is>
          <t>NPP</t>
        </is>
      </c>
      <c r="C3" s="3" t="inlineStr">
        <is>
          <t>Mã Shop</t>
        </is>
      </c>
      <c r="D3" s="3" t="inlineStr">
        <is>
          <t>Tên Shop</t>
        </is>
      </c>
      <c r="E3" s="3" t="inlineStr">
        <is>
          <t>SKU</t>
        </is>
      </c>
      <c r="F3" s="3" t="inlineStr">
        <is>
          <t>Nhóm SP</t>
        </is>
      </c>
      <c r="G3" s="3" t="inlineStr">
        <is>
          <t>Tồn đầu</t>
        </is>
      </c>
      <c r="H3" s="3" t="inlineStr">
        <is>
          <t>Nhập</t>
        </is>
      </c>
      <c r="I3" s="3" t="inlineStr">
        <is>
          <t>Tồn cuối</t>
        </is>
      </c>
      <c r="J3" s="3" t="inlineStr">
        <is>
          <t>Sell-out</t>
        </is>
      </c>
      <c r="K3" s="3" t="inlineStr">
        <is>
          <t>Ngày tồn</t>
        </is>
      </c>
      <c r="L3" s="3" t="inlineStr">
        <is>
          <t>Tái đơn?</t>
        </is>
      </c>
      <c r="M3" s="3" t="inlineStr">
        <is>
          <t>DS Sell-out</t>
        </is>
      </c>
      <c r="N3" s="3" t="inlineStr">
        <is>
          <t>Giá trị nhập</t>
        </is>
      </c>
      <c r="O3" s="3" t="inlineStr">
        <is>
          <t>Nguyên nhân chậm</t>
        </is>
      </c>
      <c r="P3" s="3" t="inlineStr">
        <is>
          <t>Giải pháp</t>
        </is>
      </c>
      <c r="Q3" s="3" t="inlineStr">
        <is>
          <t>Owner</t>
        </is>
      </c>
      <c r="R3" s="3" t="inlineStr">
        <is>
          <t>Deadline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>
        <f>MAX(0,G4+H4-I4)</f>
        <v/>
      </c>
      <c r="K4" s="4">
        <f>IFERROR(I4/MAX(1,J4)*30,0)</f>
        <v/>
      </c>
      <c r="L4" s="4" t="n"/>
      <c r="M4" s="4" t="n"/>
      <c r="N4" s="4" t="n"/>
      <c r="O4" s="4" t="n"/>
      <c r="P4" s="4" t="n"/>
      <c r="Q4" s="4" t="n"/>
      <c r="R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>
        <f>MAX(0,G5+H5-I5)</f>
        <v/>
      </c>
      <c r="K5" s="4">
        <f>IFERROR(I5/MAX(1,J5)*30,0)</f>
        <v/>
      </c>
      <c r="L5" s="4" t="n"/>
      <c r="M5" s="4" t="n"/>
      <c r="N5" s="4" t="n"/>
      <c r="O5" s="4" t="n"/>
      <c r="P5" s="4" t="n"/>
      <c r="Q5" s="4" t="n"/>
      <c r="R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>
        <f>MAX(0,G6+H6-I6)</f>
        <v/>
      </c>
      <c r="K6" s="4">
        <f>IFERROR(I6/MAX(1,J6)*30,0)</f>
        <v/>
      </c>
      <c r="L6" s="4" t="n"/>
      <c r="M6" s="4" t="n"/>
      <c r="N6" s="4" t="n"/>
      <c r="O6" s="4" t="n"/>
      <c r="P6" s="4" t="n"/>
      <c r="Q6" s="4" t="n"/>
      <c r="R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>
        <f>MAX(0,G7+H7-I7)</f>
        <v/>
      </c>
      <c r="K7" s="4">
        <f>IFERROR(I7/MAX(1,J7)*30,0)</f>
        <v/>
      </c>
      <c r="L7" s="4" t="n"/>
      <c r="M7" s="4" t="n"/>
      <c r="N7" s="4" t="n"/>
      <c r="O7" s="4" t="n"/>
      <c r="P7" s="4" t="n"/>
      <c r="Q7" s="4" t="n"/>
      <c r="R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>
        <f>MAX(0,G8+H8-I8)</f>
        <v/>
      </c>
      <c r="K8" s="4">
        <f>IFERROR(I8/MAX(1,J8)*30,0)</f>
        <v/>
      </c>
      <c r="L8" s="4" t="n"/>
      <c r="M8" s="4" t="n"/>
      <c r="N8" s="4" t="n"/>
      <c r="O8" s="4" t="n"/>
      <c r="P8" s="4" t="n"/>
      <c r="Q8" s="4" t="n"/>
      <c r="R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>
        <f>MAX(0,G9+H9-I9)</f>
        <v/>
      </c>
      <c r="K9" s="4">
        <f>IFERROR(I9/MAX(1,J9)*30,0)</f>
        <v/>
      </c>
      <c r="L9" s="4" t="n"/>
      <c r="M9" s="4" t="n"/>
      <c r="N9" s="4" t="n"/>
      <c r="O9" s="4" t="n"/>
      <c r="P9" s="4" t="n"/>
      <c r="Q9" s="4" t="n"/>
      <c r="R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>
        <f>MAX(0,G10+H10-I10)</f>
        <v/>
      </c>
      <c r="K10" s="4">
        <f>IFERROR(I10/MAX(1,J10)*30,0)</f>
        <v/>
      </c>
      <c r="L10" s="4" t="n"/>
      <c r="M10" s="4" t="n"/>
      <c r="N10" s="4" t="n"/>
      <c r="O10" s="4" t="n"/>
      <c r="P10" s="4" t="n"/>
      <c r="Q10" s="4" t="n"/>
      <c r="R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>
        <f>MAX(0,G11+H11-I11)</f>
        <v/>
      </c>
      <c r="K11" s="4">
        <f>IFERROR(I11/MAX(1,J11)*30,0)</f>
        <v/>
      </c>
      <c r="L11" s="4" t="n"/>
      <c r="M11" s="4" t="n"/>
      <c r="N11" s="4" t="n"/>
      <c r="O11" s="4" t="n"/>
      <c r="P11" s="4" t="n"/>
      <c r="Q11" s="4" t="n"/>
      <c r="R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>
        <f>MAX(0,G12+H12-I12)</f>
        <v/>
      </c>
      <c r="K12" s="4">
        <f>IFERROR(I12/MAX(1,J12)*30,0)</f>
        <v/>
      </c>
      <c r="L12" s="4" t="n"/>
      <c r="M12" s="4" t="n"/>
      <c r="N12" s="4" t="n"/>
      <c r="O12" s="4" t="n"/>
      <c r="P12" s="4" t="n"/>
      <c r="Q12" s="4" t="n"/>
      <c r="R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>
        <f>MAX(0,G13+H13-I13)</f>
        <v/>
      </c>
      <c r="K13" s="4">
        <f>IFERROR(I13/MAX(1,J13)*30,0)</f>
        <v/>
      </c>
      <c r="L13" s="4" t="n"/>
      <c r="M13" s="4" t="n"/>
      <c r="N13" s="4" t="n"/>
      <c r="O13" s="4" t="n"/>
      <c r="P13" s="4" t="n"/>
      <c r="Q13" s="4" t="n"/>
      <c r="R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>
        <f>MAX(0,G14+H14-I14)</f>
        <v/>
      </c>
      <c r="K14" s="4">
        <f>IFERROR(I14/MAX(1,J14)*30,0)</f>
        <v/>
      </c>
      <c r="L14" s="4" t="n"/>
      <c r="M14" s="4" t="n"/>
      <c r="N14" s="4" t="n"/>
      <c r="O14" s="4" t="n"/>
      <c r="P14" s="4" t="n"/>
      <c r="Q14" s="4" t="n"/>
      <c r="R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>
        <f>MAX(0,G15+H15-I15)</f>
        <v/>
      </c>
      <c r="K15" s="4">
        <f>IFERROR(I15/MAX(1,J15)*30,0)</f>
        <v/>
      </c>
      <c r="L15" s="4" t="n"/>
      <c r="M15" s="4" t="n"/>
      <c r="N15" s="4" t="n"/>
      <c r="O15" s="4" t="n"/>
      <c r="P15" s="4" t="n"/>
      <c r="Q15" s="4" t="n"/>
      <c r="R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>
        <f>MAX(0,G16+H16-I16)</f>
        <v/>
      </c>
      <c r="K16" s="4">
        <f>IFERROR(I16/MAX(1,J16)*30,0)</f>
        <v/>
      </c>
      <c r="L16" s="4" t="n"/>
      <c r="M16" s="4" t="n"/>
      <c r="N16" s="4" t="n"/>
      <c r="O16" s="4" t="n"/>
      <c r="P16" s="4" t="n"/>
      <c r="Q16" s="4" t="n"/>
      <c r="R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>
        <f>MAX(0,G17+H17-I17)</f>
        <v/>
      </c>
      <c r="K17" s="4">
        <f>IFERROR(I17/MAX(1,J17)*30,0)</f>
        <v/>
      </c>
      <c r="L17" s="4" t="n"/>
      <c r="M17" s="4" t="n"/>
      <c r="N17" s="4" t="n"/>
      <c r="O17" s="4" t="n"/>
      <c r="P17" s="4" t="n"/>
      <c r="Q17" s="4" t="n"/>
      <c r="R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>
        <f>MAX(0,G18+H18-I18)</f>
        <v/>
      </c>
      <c r="K18" s="4">
        <f>IFERROR(I18/MAX(1,J18)*30,0)</f>
        <v/>
      </c>
      <c r="L18" s="4" t="n"/>
      <c r="M18" s="4" t="n"/>
      <c r="N18" s="4" t="n"/>
      <c r="O18" s="4" t="n"/>
      <c r="P18" s="4" t="n"/>
      <c r="Q18" s="4" t="n"/>
      <c r="R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>
        <f>MAX(0,G19+H19-I19)</f>
        <v/>
      </c>
      <c r="K19" s="4">
        <f>IFERROR(I19/MAX(1,J19)*30,0)</f>
        <v/>
      </c>
      <c r="L19" s="4" t="n"/>
      <c r="M19" s="4" t="n"/>
      <c r="N19" s="4" t="n"/>
      <c r="O19" s="4" t="n"/>
      <c r="P19" s="4" t="n"/>
      <c r="Q19" s="4" t="n"/>
      <c r="R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>
        <f>MAX(0,G20+H20-I20)</f>
        <v/>
      </c>
      <c r="K20" s="4">
        <f>IFERROR(I20/MAX(1,J20)*30,0)</f>
        <v/>
      </c>
      <c r="L20" s="4" t="n"/>
      <c r="M20" s="4" t="n"/>
      <c r="N20" s="4" t="n"/>
      <c r="O20" s="4" t="n"/>
      <c r="P20" s="4" t="n"/>
      <c r="Q20" s="4" t="n"/>
      <c r="R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>
        <f>MAX(0,G21+H21-I21)</f>
        <v/>
      </c>
      <c r="K21" s="4">
        <f>IFERROR(I21/MAX(1,J21)*30,0)</f>
        <v/>
      </c>
      <c r="L21" s="4" t="n"/>
      <c r="M21" s="4" t="n"/>
      <c r="N21" s="4" t="n"/>
      <c r="O21" s="4" t="n"/>
      <c r="P21" s="4" t="n"/>
      <c r="Q21" s="4" t="n"/>
      <c r="R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>
        <f>MAX(0,G22+H22-I22)</f>
        <v/>
      </c>
      <c r="K22" s="4">
        <f>IFERROR(I22/MAX(1,J22)*30,0)</f>
        <v/>
      </c>
      <c r="L22" s="4" t="n"/>
      <c r="M22" s="4" t="n"/>
      <c r="N22" s="4" t="n"/>
      <c r="O22" s="4" t="n"/>
      <c r="P22" s="4" t="n"/>
      <c r="Q22" s="4" t="n"/>
      <c r="R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>
        <f>MAX(0,G23+H23-I23)</f>
        <v/>
      </c>
      <c r="K23" s="4">
        <f>IFERROR(I23/MAX(1,J23)*30,0)</f>
        <v/>
      </c>
      <c r="L23" s="4" t="n"/>
      <c r="M23" s="4" t="n"/>
      <c r="N23" s="4" t="n"/>
      <c r="O23" s="4" t="n"/>
      <c r="P23" s="4" t="n"/>
      <c r="Q23" s="4" t="n"/>
      <c r="R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>
        <f>MAX(0,G24+H24-I24)</f>
        <v/>
      </c>
      <c r="K24" s="4">
        <f>IFERROR(I24/MAX(1,J24)*30,0)</f>
        <v/>
      </c>
      <c r="L24" s="4" t="n"/>
      <c r="M24" s="4" t="n"/>
      <c r="N24" s="4" t="n"/>
      <c r="O24" s="4" t="n"/>
      <c r="P24" s="4" t="n"/>
      <c r="Q24" s="4" t="n"/>
      <c r="R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>
        <f>MAX(0,G25+H25-I25)</f>
        <v/>
      </c>
      <c r="K25" s="4">
        <f>IFERROR(I25/MAX(1,J25)*30,0)</f>
        <v/>
      </c>
      <c r="L25" s="4" t="n"/>
      <c r="M25" s="4" t="n"/>
      <c r="N25" s="4" t="n"/>
      <c r="O25" s="4" t="n"/>
      <c r="P25" s="4" t="n"/>
      <c r="Q25" s="4" t="n"/>
      <c r="R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>
        <f>MAX(0,G26+H26-I26)</f>
        <v/>
      </c>
      <c r="K26" s="4">
        <f>IFERROR(I26/MAX(1,J26)*30,0)</f>
        <v/>
      </c>
      <c r="L26" s="4" t="n"/>
      <c r="M26" s="4" t="n"/>
      <c r="N26" s="4" t="n"/>
      <c r="O26" s="4" t="n"/>
      <c r="P26" s="4" t="n"/>
      <c r="Q26" s="4" t="n"/>
      <c r="R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>
        <f>MAX(0,G27+H27-I27)</f>
        <v/>
      </c>
      <c r="K27" s="4">
        <f>IFERROR(I27/MAX(1,J27)*30,0)</f>
        <v/>
      </c>
      <c r="L27" s="4" t="n"/>
      <c r="M27" s="4" t="n"/>
      <c r="N27" s="4" t="n"/>
      <c r="O27" s="4" t="n"/>
      <c r="P27" s="4" t="n"/>
      <c r="Q27" s="4" t="n"/>
      <c r="R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>
        <f>MAX(0,G28+H28-I28)</f>
        <v/>
      </c>
      <c r="K28" s="4">
        <f>IFERROR(I28/MAX(1,J28)*30,0)</f>
        <v/>
      </c>
      <c r="L28" s="4" t="n"/>
      <c r="M28" s="4" t="n"/>
      <c r="N28" s="4" t="n"/>
      <c r="O28" s="4" t="n"/>
      <c r="P28" s="4" t="n"/>
      <c r="Q28" s="4" t="n"/>
      <c r="R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>
        <f>MAX(0,G29+H29-I29)</f>
        <v/>
      </c>
      <c r="K29" s="4">
        <f>IFERROR(I29/MAX(1,J29)*30,0)</f>
        <v/>
      </c>
      <c r="L29" s="4" t="n"/>
      <c r="M29" s="4" t="n"/>
      <c r="N29" s="4" t="n"/>
      <c r="O29" s="4" t="n"/>
      <c r="P29" s="4" t="n"/>
      <c r="Q29" s="4" t="n"/>
      <c r="R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>
        <f>MAX(0,G30+H30-I30)</f>
        <v/>
      </c>
      <c r="K30" s="4">
        <f>IFERROR(I30/MAX(1,J30)*30,0)</f>
        <v/>
      </c>
      <c r="L30" s="4" t="n"/>
      <c r="M30" s="4" t="n"/>
      <c r="N30" s="4" t="n"/>
      <c r="O30" s="4" t="n"/>
      <c r="P30" s="4" t="n"/>
      <c r="Q30" s="4" t="n"/>
      <c r="R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>
        <f>MAX(0,G31+H31-I31)</f>
        <v/>
      </c>
      <c r="K31" s="4">
        <f>IFERROR(I31/MAX(1,J31)*30,0)</f>
        <v/>
      </c>
      <c r="L31" s="4" t="n"/>
      <c r="M31" s="4" t="n"/>
      <c r="N31" s="4" t="n"/>
      <c r="O31" s="4" t="n"/>
      <c r="P31" s="4" t="n"/>
      <c r="Q31" s="4" t="n"/>
      <c r="R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>
        <f>MAX(0,G32+H32-I32)</f>
        <v/>
      </c>
      <c r="K32" s="4">
        <f>IFERROR(I32/MAX(1,J32)*30,0)</f>
        <v/>
      </c>
      <c r="L32" s="4" t="n"/>
      <c r="M32" s="4" t="n"/>
      <c r="N32" s="4" t="n"/>
      <c r="O32" s="4" t="n"/>
      <c r="P32" s="4" t="n"/>
      <c r="Q32" s="4" t="n"/>
      <c r="R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>
        <f>MAX(0,G33+H33-I33)</f>
        <v/>
      </c>
      <c r="K33" s="4">
        <f>IFERROR(I33/MAX(1,J33)*30,0)</f>
        <v/>
      </c>
      <c r="L33" s="4" t="n"/>
      <c r="M33" s="4" t="n"/>
      <c r="N33" s="4" t="n"/>
      <c r="O33" s="4" t="n"/>
      <c r="P33" s="4" t="n"/>
      <c r="Q33" s="4" t="n"/>
      <c r="R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>
        <f>MAX(0,G34+H34-I34)</f>
        <v/>
      </c>
      <c r="K34" s="4">
        <f>IFERROR(I34/MAX(1,J34)*30,0)</f>
        <v/>
      </c>
      <c r="L34" s="4" t="n"/>
      <c r="M34" s="4" t="n"/>
      <c r="N34" s="4" t="n"/>
      <c r="O34" s="4" t="n"/>
      <c r="P34" s="4" t="n"/>
      <c r="Q34" s="4" t="n"/>
      <c r="R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>
        <f>MAX(0,G35+H35-I35)</f>
        <v/>
      </c>
      <c r="K35" s="4">
        <f>IFERROR(I35/MAX(1,J35)*30,0)</f>
        <v/>
      </c>
      <c r="L35" s="4" t="n"/>
      <c r="M35" s="4" t="n"/>
      <c r="N35" s="4" t="n"/>
      <c r="O35" s="4" t="n"/>
      <c r="P35" s="4" t="n"/>
      <c r="Q35" s="4" t="n"/>
      <c r="R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>
        <f>MAX(0,G36+H36-I36)</f>
        <v/>
      </c>
      <c r="K36" s="4">
        <f>IFERROR(I36/MAX(1,J36)*30,0)</f>
        <v/>
      </c>
      <c r="L36" s="4" t="n"/>
      <c r="M36" s="4" t="n"/>
      <c r="N36" s="4" t="n"/>
      <c r="O36" s="4" t="n"/>
      <c r="P36" s="4" t="n"/>
      <c r="Q36" s="4" t="n"/>
      <c r="R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>
        <f>MAX(0,G37+H37-I37)</f>
        <v/>
      </c>
      <c r="K37" s="4">
        <f>IFERROR(I37/MAX(1,J37)*30,0)</f>
        <v/>
      </c>
      <c r="L37" s="4" t="n"/>
      <c r="M37" s="4" t="n"/>
      <c r="N37" s="4" t="n"/>
      <c r="O37" s="4" t="n"/>
      <c r="P37" s="4" t="n"/>
      <c r="Q37" s="4" t="n"/>
      <c r="R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>
        <f>MAX(0,G38+H38-I38)</f>
        <v/>
      </c>
      <c r="K38" s="4">
        <f>IFERROR(I38/MAX(1,J38)*30,0)</f>
        <v/>
      </c>
      <c r="L38" s="4" t="n"/>
      <c r="M38" s="4" t="n"/>
      <c r="N38" s="4" t="n"/>
      <c r="O38" s="4" t="n"/>
      <c r="P38" s="4" t="n"/>
      <c r="Q38" s="4" t="n"/>
      <c r="R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>
        <f>MAX(0,G39+H39-I39)</f>
        <v/>
      </c>
      <c r="K39" s="4">
        <f>IFERROR(I39/MAX(1,J39)*30,0)</f>
        <v/>
      </c>
      <c r="L39" s="4" t="n"/>
      <c r="M39" s="4" t="n"/>
      <c r="N39" s="4" t="n"/>
      <c r="O39" s="4" t="n"/>
      <c r="P39" s="4" t="n"/>
      <c r="Q39" s="4" t="n"/>
      <c r="R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>
        <f>MAX(0,G40+H40-I40)</f>
        <v/>
      </c>
      <c r="K40" s="4">
        <f>IFERROR(I40/MAX(1,J40)*30,0)</f>
        <v/>
      </c>
      <c r="L40" s="4" t="n"/>
      <c r="M40" s="4" t="n"/>
      <c r="N40" s="4" t="n"/>
      <c r="O40" s="4" t="n"/>
      <c r="P40" s="4" t="n"/>
      <c r="Q40" s="4" t="n"/>
      <c r="R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>
        <f>MAX(0,G41+H41-I41)</f>
        <v/>
      </c>
      <c r="K41" s="4">
        <f>IFERROR(I41/MAX(1,J41)*30,0)</f>
        <v/>
      </c>
      <c r="L41" s="4" t="n"/>
      <c r="M41" s="4" t="n"/>
      <c r="N41" s="4" t="n"/>
      <c r="O41" s="4" t="n"/>
      <c r="P41" s="4" t="n"/>
      <c r="Q41" s="4" t="n"/>
      <c r="R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>
        <f>MAX(0,G42+H42-I42)</f>
        <v/>
      </c>
      <c r="K42" s="4">
        <f>IFERROR(I42/MAX(1,J42)*30,0)</f>
        <v/>
      </c>
      <c r="L42" s="4" t="n"/>
      <c r="M42" s="4" t="n"/>
      <c r="N42" s="4" t="n"/>
      <c r="O42" s="4" t="n"/>
      <c r="P42" s="4" t="n"/>
      <c r="Q42" s="4" t="n"/>
      <c r="R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>
        <f>MAX(0,G43+H43-I43)</f>
        <v/>
      </c>
      <c r="K43" s="4">
        <f>IFERROR(I43/MAX(1,J43)*30,0)</f>
        <v/>
      </c>
      <c r="L43" s="4" t="n"/>
      <c r="M43" s="4" t="n"/>
      <c r="N43" s="4" t="n"/>
      <c r="O43" s="4" t="n"/>
      <c r="P43" s="4" t="n"/>
      <c r="Q43" s="4" t="n"/>
      <c r="R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>
        <f>MAX(0,G44+H44-I44)</f>
        <v/>
      </c>
      <c r="K44" s="4">
        <f>IFERROR(I44/MAX(1,J44)*30,0)</f>
        <v/>
      </c>
      <c r="L44" s="4" t="n"/>
      <c r="M44" s="4" t="n"/>
      <c r="N44" s="4" t="n"/>
      <c r="O44" s="4" t="n"/>
      <c r="P44" s="4" t="n"/>
      <c r="Q44" s="4" t="n"/>
      <c r="R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>
        <f>MAX(0,G45+H45-I45)</f>
        <v/>
      </c>
      <c r="K45" s="4">
        <f>IFERROR(I45/MAX(1,J45)*30,0)</f>
        <v/>
      </c>
      <c r="L45" s="4" t="n"/>
      <c r="M45" s="4" t="n"/>
      <c r="N45" s="4" t="n"/>
      <c r="O45" s="4" t="n"/>
      <c r="P45" s="4" t="n"/>
      <c r="Q45" s="4" t="n"/>
      <c r="R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>
        <f>MAX(0,G46+H46-I46)</f>
        <v/>
      </c>
      <c r="K46" s="4">
        <f>IFERROR(I46/MAX(1,J46)*30,0)</f>
        <v/>
      </c>
      <c r="L46" s="4" t="n"/>
      <c r="M46" s="4" t="n"/>
      <c r="N46" s="4" t="n"/>
      <c r="O46" s="4" t="n"/>
      <c r="P46" s="4" t="n"/>
      <c r="Q46" s="4" t="n"/>
      <c r="R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>
        <f>MAX(0,G47+H47-I47)</f>
        <v/>
      </c>
      <c r="K47" s="4">
        <f>IFERROR(I47/MAX(1,J47)*30,0)</f>
        <v/>
      </c>
      <c r="L47" s="4" t="n"/>
      <c r="M47" s="4" t="n"/>
      <c r="N47" s="4" t="n"/>
      <c r="O47" s="4" t="n"/>
      <c r="P47" s="4" t="n"/>
      <c r="Q47" s="4" t="n"/>
      <c r="R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>
        <f>MAX(0,G48+H48-I48)</f>
        <v/>
      </c>
      <c r="K48" s="4">
        <f>IFERROR(I48/MAX(1,J48)*30,0)</f>
        <v/>
      </c>
      <c r="L48" s="4" t="n"/>
      <c r="M48" s="4" t="n"/>
      <c r="N48" s="4" t="n"/>
      <c r="O48" s="4" t="n"/>
      <c r="P48" s="4" t="n"/>
      <c r="Q48" s="4" t="n"/>
      <c r="R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>
        <f>MAX(0,G49+H49-I49)</f>
        <v/>
      </c>
      <c r="K49" s="4">
        <f>IFERROR(I49/MAX(1,J49)*30,0)</f>
        <v/>
      </c>
      <c r="L49" s="4" t="n"/>
      <c r="M49" s="4" t="n"/>
      <c r="N49" s="4" t="n"/>
      <c r="O49" s="4" t="n"/>
      <c r="P49" s="4" t="n"/>
      <c r="Q49" s="4" t="n"/>
      <c r="R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>
        <f>MAX(0,G50+H50-I50)</f>
        <v/>
      </c>
      <c r="K50" s="4">
        <f>IFERROR(I50/MAX(1,J50)*30,0)</f>
        <v/>
      </c>
      <c r="L50" s="4" t="n"/>
      <c r="M50" s="4" t="n"/>
      <c r="N50" s="4" t="n"/>
      <c r="O50" s="4" t="n"/>
      <c r="P50" s="4" t="n"/>
      <c r="Q50" s="4" t="n"/>
      <c r="R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>
        <f>MAX(0,G51+H51-I51)</f>
        <v/>
      </c>
      <c r="K51" s="4">
        <f>IFERROR(I51/MAX(1,J51)*30,0)</f>
        <v/>
      </c>
      <c r="L51" s="4" t="n"/>
      <c r="M51" s="4" t="n"/>
      <c r="N51" s="4" t="n"/>
      <c r="O51" s="4" t="n"/>
      <c r="P51" s="4" t="n"/>
      <c r="Q51" s="4" t="n"/>
      <c r="R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>
        <f>MAX(0,G52+H52-I52)</f>
        <v/>
      </c>
      <c r="K52" s="4">
        <f>IFERROR(I52/MAX(1,J52)*30,0)</f>
        <v/>
      </c>
      <c r="L52" s="4" t="n"/>
      <c r="M52" s="4" t="n"/>
      <c r="N52" s="4" t="n"/>
      <c r="O52" s="4" t="n"/>
      <c r="P52" s="4" t="n"/>
      <c r="Q52" s="4" t="n"/>
      <c r="R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>
        <f>MAX(0,G53+H53-I53)</f>
        <v/>
      </c>
      <c r="K53" s="4">
        <f>IFERROR(I53/MAX(1,J53)*30,0)</f>
        <v/>
      </c>
      <c r="L53" s="4" t="n"/>
      <c r="M53" s="4" t="n"/>
      <c r="N53" s="4" t="n"/>
      <c r="O53" s="4" t="n"/>
      <c r="P53" s="4" t="n"/>
      <c r="Q53" s="4" t="n"/>
      <c r="R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>
        <f>MAX(0,G54+H54-I54)</f>
        <v/>
      </c>
      <c r="K54" s="4">
        <f>IFERROR(I54/MAX(1,J54)*30,0)</f>
        <v/>
      </c>
      <c r="L54" s="4" t="n"/>
      <c r="M54" s="4" t="n"/>
      <c r="N54" s="4" t="n"/>
      <c r="O54" s="4" t="n"/>
      <c r="P54" s="4" t="n"/>
      <c r="Q54" s="4" t="n"/>
      <c r="R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>
        <f>MAX(0,G55+H55-I55)</f>
        <v/>
      </c>
      <c r="K55" s="4">
        <f>IFERROR(I55/MAX(1,J55)*30,0)</f>
        <v/>
      </c>
      <c r="L55" s="4" t="n"/>
      <c r="M55" s="4" t="n"/>
      <c r="N55" s="4" t="n"/>
      <c r="O55" s="4" t="n"/>
      <c r="P55" s="4" t="n"/>
      <c r="Q55" s="4" t="n"/>
      <c r="R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>
        <f>MAX(0,G56+H56-I56)</f>
        <v/>
      </c>
      <c r="K56" s="4">
        <f>IFERROR(I56/MAX(1,J56)*30,0)</f>
        <v/>
      </c>
      <c r="L56" s="4" t="n"/>
      <c r="M56" s="4" t="n"/>
      <c r="N56" s="4" t="n"/>
      <c r="O56" s="4" t="n"/>
      <c r="P56" s="4" t="n"/>
      <c r="Q56" s="4" t="n"/>
      <c r="R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>
        <f>MAX(0,G57+H57-I57)</f>
        <v/>
      </c>
      <c r="K57" s="4">
        <f>IFERROR(I57/MAX(1,J57)*30,0)</f>
        <v/>
      </c>
      <c r="L57" s="4" t="n"/>
      <c r="M57" s="4" t="n"/>
      <c r="N57" s="4" t="n"/>
      <c r="O57" s="4" t="n"/>
      <c r="P57" s="4" t="n"/>
      <c r="Q57" s="4" t="n"/>
      <c r="R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>
        <f>MAX(0,G58+H58-I58)</f>
        <v/>
      </c>
      <c r="K58" s="4">
        <f>IFERROR(I58/MAX(1,J58)*30,0)</f>
        <v/>
      </c>
      <c r="L58" s="4" t="n"/>
      <c r="M58" s="4" t="n"/>
      <c r="N58" s="4" t="n"/>
      <c r="O58" s="4" t="n"/>
      <c r="P58" s="4" t="n"/>
      <c r="Q58" s="4" t="n"/>
      <c r="R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>
        <f>MAX(0,G59+H59-I59)</f>
        <v/>
      </c>
      <c r="K59" s="4">
        <f>IFERROR(I59/MAX(1,J59)*30,0)</f>
        <v/>
      </c>
      <c r="L59" s="4" t="n"/>
      <c r="M59" s="4" t="n"/>
      <c r="N59" s="4" t="n"/>
      <c r="O59" s="4" t="n"/>
      <c r="P59" s="4" t="n"/>
      <c r="Q59" s="4" t="n"/>
      <c r="R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>
        <f>MAX(0,G60+H60-I60)</f>
        <v/>
      </c>
      <c r="K60" s="4">
        <f>IFERROR(I60/MAX(1,J60)*30,0)</f>
        <v/>
      </c>
      <c r="L60" s="4" t="n"/>
      <c r="M60" s="4" t="n"/>
      <c r="N60" s="4" t="n"/>
      <c r="O60" s="4" t="n"/>
      <c r="P60" s="4" t="n"/>
      <c r="Q60" s="4" t="n"/>
      <c r="R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>
        <f>MAX(0,G61+H61-I61)</f>
        <v/>
      </c>
      <c r="K61" s="4">
        <f>IFERROR(I61/MAX(1,J61)*30,0)</f>
        <v/>
      </c>
      <c r="L61" s="4" t="n"/>
      <c r="M61" s="4" t="n"/>
      <c r="N61" s="4" t="n"/>
      <c r="O61" s="4" t="n"/>
      <c r="P61" s="4" t="n"/>
      <c r="Q61" s="4" t="n"/>
      <c r="R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>
        <f>MAX(0,G62+H62-I62)</f>
        <v/>
      </c>
      <c r="K62" s="4">
        <f>IFERROR(I62/MAX(1,J62)*30,0)</f>
        <v/>
      </c>
      <c r="L62" s="4" t="n"/>
      <c r="M62" s="4" t="n"/>
      <c r="N62" s="4" t="n"/>
      <c r="O62" s="4" t="n"/>
      <c r="P62" s="4" t="n"/>
      <c r="Q62" s="4" t="n"/>
      <c r="R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>
        <f>MAX(0,G63+H63-I63)</f>
        <v/>
      </c>
      <c r="K63" s="4">
        <f>IFERROR(I63/MAX(1,J63)*30,0)</f>
        <v/>
      </c>
      <c r="L63" s="4" t="n"/>
      <c r="M63" s="4" t="n"/>
      <c r="N63" s="4" t="n"/>
      <c r="O63" s="4" t="n"/>
      <c r="P63" s="4" t="n"/>
      <c r="Q63" s="4" t="n"/>
      <c r="R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>
        <f>MAX(0,G64+H64-I64)</f>
        <v/>
      </c>
      <c r="K64" s="4">
        <f>IFERROR(I64/MAX(1,J64)*30,0)</f>
        <v/>
      </c>
      <c r="L64" s="4" t="n"/>
      <c r="M64" s="4" t="n"/>
      <c r="N64" s="4" t="n"/>
      <c r="O64" s="4" t="n"/>
      <c r="P64" s="4" t="n"/>
      <c r="Q64" s="4" t="n"/>
      <c r="R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>
        <f>MAX(0,G65+H65-I65)</f>
        <v/>
      </c>
      <c r="K65" s="4">
        <f>IFERROR(I65/MAX(1,J65)*30,0)</f>
        <v/>
      </c>
      <c r="L65" s="4" t="n"/>
      <c r="M65" s="4" t="n"/>
      <c r="N65" s="4" t="n"/>
      <c r="O65" s="4" t="n"/>
      <c r="P65" s="4" t="n"/>
      <c r="Q65" s="4" t="n"/>
      <c r="R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>
        <f>MAX(0,G66+H66-I66)</f>
        <v/>
      </c>
      <c r="K66" s="4">
        <f>IFERROR(I66/MAX(1,J66)*30,0)</f>
        <v/>
      </c>
      <c r="L66" s="4" t="n"/>
      <c r="M66" s="4" t="n"/>
      <c r="N66" s="4" t="n"/>
      <c r="O66" s="4" t="n"/>
      <c r="P66" s="4" t="n"/>
      <c r="Q66" s="4" t="n"/>
      <c r="R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>
        <f>MAX(0,G67+H67-I67)</f>
        <v/>
      </c>
      <c r="K67" s="4">
        <f>IFERROR(I67/MAX(1,J67)*30,0)</f>
        <v/>
      </c>
      <c r="L67" s="4" t="n"/>
      <c r="M67" s="4" t="n"/>
      <c r="N67" s="4" t="n"/>
      <c r="O67" s="4" t="n"/>
      <c r="P67" s="4" t="n"/>
      <c r="Q67" s="4" t="n"/>
      <c r="R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>
        <f>MAX(0,G68+H68-I68)</f>
        <v/>
      </c>
      <c r="K68" s="4">
        <f>IFERROR(I68/MAX(1,J68)*30,0)</f>
        <v/>
      </c>
      <c r="L68" s="4" t="n"/>
      <c r="M68" s="4" t="n"/>
      <c r="N68" s="4" t="n"/>
      <c r="O68" s="4" t="n"/>
      <c r="P68" s="4" t="n"/>
      <c r="Q68" s="4" t="n"/>
      <c r="R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>
        <f>MAX(0,G69+H69-I69)</f>
        <v/>
      </c>
      <c r="K69" s="4">
        <f>IFERROR(I69/MAX(1,J69)*30,0)</f>
        <v/>
      </c>
      <c r="L69" s="4" t="n"/>
      <c r="M69" s="4" t="n"/>
      <c r="N69" s="4" t="n"/>
      <c r="O69" s="4" t="n"/>
      <c r="P69" s="4" t="n"/>
      <c r="Q69" s="4" t="n"/>
      <c r="R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>
        <f>MAX(0,G70+H70-I70)</f>
        <v/>
      </c>
      <c r="K70" s="4">
        <f>IFERROR(I70/MAX(1,J70)*30,0)</f>
        <v/>
      </c>
      <c r="L70" s="4" t="n"/>
      <c r="M70" s="4" t="n"/>
      <c r="N70" s="4" t="n"/>
      <c r="O70" s="4" t="n"/>
      <c r="P70" s="4" t="n"/>
      <c r="Q70" s="4" t="n"/>
      <c r="R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>
        <f>MAX(0,G71+H71-I71)</f>
        <v/>
      </c>
      <c r="K71" s="4">
        <f>IFERROR(I71/MAX(1,J71)*30,0)</f>
        <v/>
      </c>
      <c r="L71" s="4" t="n"/>
      <c r="M71" s="4" t="n"/>
      <c r="N71" s="4" t="n"/>
      <c r="O71" s="4" t="n"/>
      <c r="P71" s="4" t="n"/>
      <c r="Q71" s="4" t="n"/>
      <c r="R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>
        <f>MAX(0,G72+H72-I72)</f>
        <v/>
      </c>
      <c r="K72" s="4">
        <f>IFERROR(I72/MAX(1,J72)*30,0)</f>
        <v/>
      </c>
      <c r="L72" s="4" t="n"/>
      <c r="M72" s="4" t="n"/>
      <c r="N72" s="4" t="n"/>
      <c r="O72" s="4" t="n"/>
      <c r="P72" s="4" t="n"/>
      <c r="Q72" s="4" t="n"/>
      <c r="R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>
        <f>MAX(0,G73+H73-I73)</f>
        <v/>
      </c>
      <c r="K73" s="4">
        <f>IFERROR(I73/MAX(1,J73)*30,0)</f>
        <v/>
      </c>
      <c r="L73" s="4" t="n"/>
      <c r="M73" s="4" t="n"/>
      <c r="N73" s="4" t="n"/>
      <c r="O73" s="4" t="n"/>
      <c r="P73" s="4" t="n"/>
      <c r="Q73" s="4" t="n"/>
      <c r="R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>
        <f>MAX(0,G74+H74-I74)</f>
        <v/>
      </c>
      <c r="K74" s="4">
        <f>IFERROR(I74/MAX(1,J74)*30,0)</f>
        <v/>
      </c>
      <c r="L74" s="4" t="n"/>
      <c r="M74" s="4" t="n"/>
      <c r="N74" s="4" t="n"/>
      <c r="O74" s="4" t="n"/>
      <c r="P74" s="4" t="n"/>
      <c r="Q74" s="4" t="n"/>
      <c r="R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>
        <f>MAX(0,G75+H75-I75)</f>
        <v/>
      </c>
      <c r="K75" s="4">
        <f>IFERROR(I75/MAX(1,J75)*30,0)</f>
        <v/>
      </c>
      <c r="L75" s="4" t="n"/>
      <c r="M75" s="4" t="n"/>
      <c r="N75" s="4" t="n"/>
      <c r="O75" s="4" t="n"/>
      <c r="P75" s="4" t="n"/>
      <c r="Q75" s="4" t="n"/>
      <c r="R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>
        <f>MAX(0,G76+H76-I76)</f>
        <v/>
      </c>
      <c r="K76" s="4">
        <f>IFERROR(I76/MAX(1,J76)*30,0)</f>
        <v/>
      </c>
      <c r="L76" s="4" t="n"/>
      <c r="M76" s="4" t="n"/>
      <c r="N76" s="4" t="n"/>
      <c r="O76" s="4" t="n"/>
      <c r="P76" s="4" t="n"/>
      <c r="Q76" s="4" t="n"/>
      <c r="R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>
        <f>MAX(0,G77+H77-I77)</f>
        <v/>
      </c>
      <c r="K77" s="4">
        <f>IFERROR(I77/MAX(1,J77)*30,0)</f>
        <v/>
      </c>
      <c r="L77" s="4" t="n"/>
      <c r="M77" s="4" t="n"/>
      <c r="N77" s="4" t="n"/>
      <c r="O77" s="4" t="n"/>
      <c r="P77" s="4" t="n"/>
      <c r="Q77" s="4" t="n"/>
      <c r="R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>
        <f>MAX(0,G78+H78-I78)</f>
        <v/>
      </c>
      <c r="K78" s="4">
        <f>IFERROR(I78/MAX(1,J78)*30,0)</f>
        <v/>
      </c>
      <c r="L78" s="4" t="n"/>
      <c r="M78" s="4" t="n"/>
      <c r="N78" s="4" t="n"/>
      <c r="O78" s="4" t="n"/>
      <c r="P78" s="4" t="n"/>
      <c r="Q78" s="4" t="n"/>
      <c r="R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>
        <f>MAX(0,G79+H79-I79)</f>
        <v/>
      </c>
      <c r="K79" s="4">
        <f>IFERROR(I79/MAX(1,J79)*30,0)</f>
        <v/>
      </c>
      <c r="L79" s="4" t="n"/>
      <c r="M79" s="4" t="n"/>
      <c r="N79" s="4" t="n"/>
      <c r="O79" s="4" t="n"/>
      <c r="P79" s="4" t="n"/>
      <c r="Q79" s="4" t="n"/>
      <c r="R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>
        <f>MAX(0,G80+H80-I80)</f>
        <v/>
      </c>
      <c r="K80" s="4">
        <f>IFERROR(I80/MAX(1,J80)*30,0)</f>
        <v/>
      </c>
      <c r="L80" s="4" t="n"/>
      <c r="M80" s="4" t="n"/>
      <c r="N80" s="4" t="n"/>
      <c r="O80" s="4" t="n"/>
      <c r="P80" s="4" t="n"/>
      <c r="Q80" s="4" t="n"/>
      <c r="R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>
        <f>MAX(0,G81+H81-I81)</f>
        <v/>
      </c>
      <c r="K81" s="4">
        <f>IFERROR(I81/MAX(1,J81)*30,0)</f>
        <v/>
      </c>
      <c r="L81" s="4" t="n"/>
      <c r="M81" s="4" t="n"/>
      <c r="N81" s="4" t="n"/>
      <c r="O81" s="4" t="n"/>
      <c r="P81" s="4" t="n"/>
      <c r="Q81" s="4" t="n"/>
      <c r="R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>
        <f>MAX(0,G82+H82-I82)</f>
        <v/>
      </c>
      <c r="K82" s="4">
        <f>IFERROR(I82/MAX(1,J82)*30,0)</f>
        <v/>
      </c>
      <c r="L82" s="4" t="n"/>
      <c r="M82" s="4" t="n"/>
      <c r="N82" s="4" t="n"/>
      <c r="O82" s="4" t="n"/>
      <c r="P82" s="4" t="n"/>
      <c r="Q82" s="4" t="n"/>
      <c r="R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>
        <f>MAX(0,G83+H83-I83)</f>
        <v/>
      </c>
      <c r="K83" s="4">
        <f>IFERROR(I83/MAX(1,J83)*30,0)</f>
        <v/>
      </c>
      <c r="L83" s="4" t="n"/>
      <c r="M83" s="4" t="n"/>
      <c r="N83" s="4" t="n"/>
      <c r="O83" s="4" t="n"/>
      <c r="P83" s="4" t="n"/>
      <c r="Q83" s="4" t="n"/>
      <c r="R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>
        <f>MAX(0,G84+H84-I84)</f>
        <v/>
      </c>
      <c r="K84" s="4">
        <f>IFERROR(I84/MAX(1,J84)*30,0)</f>
        <v/>
      </c>
      <c r="L84" s="4" t="n"/>
      <c r="M84" s="4" t="n"/>
      <c r="N84" s="4" t="n"/>
      <c r="O84" s="4" t="n"/>
      <c r="P84" s="4" t="n"/>
      <c r="Q84" s="4" t="n"/>
      <c r="R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>
        <f>MAX(0,G85+H85-I85)</f>
        <v/>
      </c>
      <c r="K85" s="4">
        <f>IFERROR(I85/MAX(1,J85)*30,0)</f>
        <v/>
      </c>
      <c r="L85" s="4" t="n"/>
      <c r="M85" s="4" t="n"/>
      <c r="N85" s="4" t="n"/>
      <c r="O85" s="4" t="n"/>
      <c r="P85" s="4" t="n"/>
      <c r="Q85" s="4" t="n"/>
      <c r="R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>
        <f>MAX(0,G86+H86-I86)</f>
        <v/>
      </c>
      <c r="K86" s="4">
        <f>IFERROR(I86/MAX(1,J86)*30,0)</f>
        <v/>
      </c>
      <c r="L86" s="4" t="n"/>
      <c r="M86" s="4" t="n"/>
      <c r="N86" s="4" t="n"/>
      <c r="O86" s="4" t="n"/>
      <c r="P86" s="4" t="n"/>
      <c r="Q86" s="4" t="n"/>
      <c r="R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>
        <f>MAX(0,G87+H87-I87)</f>
        <v/>
      </c>
      <c r="K87" s="4">
        <f>IFERROR(I87/MAX(1,J87)*30,0)</f>
        <v/>
      </c>
      <c r="L87" s="4" t="n"/>
      <c r="M87" s="4" t="n"/>
      <c r="N87" s="4" t="n"/>
      <c r="O87" s="4" t="n"/>
      <c r="P87" s="4" t="n"/>
      <c r="Q87" s="4" t="n"/>
      <c r="R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>
        <f>MAX(0,G88+H88-I88)</f>
        <v/>
      </c>
      <c r="K88" s="4">
        <f>IFERROR(I88/MAX(1,J88)*30,0)</f>
        <v/>
      </c>
      <c r="L88" s="4" t="n"/>
      <c r="M88" s="4" t="n"/>
      <c r="N88" s="4" t="n"/>
      <c r="O88" s="4" t="n"/>
      <c r="P88" s="4" t="n"/>
      <c r="Q88" s="4" t="n"/>
      <c r="R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>
        <f>MAX(0,G89+H89-I89)</f>
        <v/>
      </c>
      <c r="K89" s="4">
        <f>IFERROR(I89/MAX(1,J89)*30,0)</f>
        <v/>
      </c>
      <c r="L89" s="4" t="n"/>
      <c r="M89" s="4" t="n"/>
      <c r="N89" s="4" t="n"/>
      <c r="O89" s="4" t="n"/>
      <c r="P89" s="4" t="n"/>
      <c r="Q89" s="4" t="n"/>
      <c r="R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>
        <f>MAX(0,G90+H90-I90)</f>
        <v/>
      </c>
      <c r="K90" s="4">
        <f>IFERROR(I90/MAX(1,J90)*30,0)</f>
        <v/>
      </c>
      <c r="L90" s="4" t="n"/>
      <c r="M90" s="4" t="n"/>
      <c r="N90" s="4" t="n"/>
      <c r="O90" s="4" t="n"/>
      <c r="P90" s="4" t="n"/>
      <c r="Q90" s="4" t="n"/>
      <c r="R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>
        <f>MAX(0,G91+H91-I91)</f>
        <v/>
      </c>
      <c r="K91" s="4">
        <f>IFERROR(I91/MAX(1,J91)*30,0)</f>
        <v/>
      </c>
      <c r="L91" s="4" t="n"/>
      <c r="M91" s="4" t="n"/>
      <c r="N91" s="4" t="n"/>
      <c r="O91" s="4" t="n"/>
      <c r="P91" s="4" t="n"/>
      <c r="Q91" s="4" t="n"/>
      <c r="R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>
        <f>MAX(0,G92+H92-I92)</f>
        <v/>
      </c>
      <c r="K92" s="4">
        <f>IFERROR(I92/MAX(1,J92)*30,0)</f>
        <v/>
      </c>
      <c r="L92" s="4" t="n"/>
      <c r="M92" s="4" t="n"/>
      <c r="N92" s="4" t="n"/>
      <c r="O92" s="4" t="n"/>
      <c r="P92" s="4" t="n"/>
      <c r="Q92" s="4" t="n"/>
      <c r="R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>
        <f>MAX(0,G93+H93-I93)</f>
        <v/>
      </c>
      <c r="K93" s="4">
        <f>IFERROR(I93/MAX(1,J93)*30,0)</f>
        <v/>
      </c>
      <c r="L93" s="4" t="n"/>
      <c r="M93" s="4" t="n"/>
      <c r="N93" s="4" t="n"/>
      <c r="O93" s="4" t="n"/>
      <c r="P93" s="4" t="n"/>
      <c r="Q93" s="4" t="n"/>
      <c r="R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>
        <f>MAX(0,G94+H94-I94)</f>
        <v/>
      </c>
      <c r="K94" s="4">
        <f>IFERROR(I94/MAX(1,J94)*30,0)</f>
        <v/>
      </c>
      <c r="L94" s="4" t="n"/>
      <c r="M94" s="4" t="n"/>
      <c r="N94" s="4" t="n"/>
      <c r="O94" s="4" t="n"/>
      <c r="P94" s="4" t="n"/>
      <c r="Q94" s="4" t="n"/>
      <c r="R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>
        <f>MAX(0,G95+H95-I95)</f>
        <v/>
      </c>
      <c r="K95" s="4">
        <f>IFERROR(I95/MAX(1,J95)*30,0)</f>
        <v/>
      </c>
      <c r="L95" s="4" t="n"/>
      <c r="M95" s="4" t="n"/>
      <c r="N95" s="4" t="n"/>
      <c r="O95" s="4" t="n"/>
      <c r="P95" s="4" t="n"/>
      <c r="Q95" s="4" t="n"/>
      <c r="R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>
        <f>MAX(0,G96+H96-I96)</f>
        <v/>
      </c>
      <c r="K96" s="4">
        <f>IFERROR(I96/MAX(1,J96)*30,0)</f>
        <v/>
      </c>
      <c r="L96" s="4" t="n"/>
      <c r="M96" s="4" t="n"/>
      <c r="N96" s="4" t="n"/>
      <c r="O96" s="4" t="n"/>
      <c r="P96" s="4" t="n"/>
      <c r="Q96" s="4" t="n"/>
      <c r="R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>
        <f>MAX(0,G97+H97-I97)</f>
        <v/>
      </c>
      <c r="K97" s="4">
        <f>IFERROR(I97/MAX(1,J97)*30,0)</f>
        <v/>
      </c>
      <c r="L97" s="4" t="n"/>
      <c r="M97" s="4" t="n"/>
      <c r="N97" s="4" t="n"/>
      <c r="O97" s="4" t="n"/>
      <c r="P97" s="4" t="n"/>
      <c r="Q97" s="4" t="n"/>
      <c r="R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>
        <f>MAX(0,G98+H98-I98)</f>
        <v/>
      </c>
      <c r="K98" s="4">
        <f>IFERROR(I98/MAX(1,J98)*30,0)</f>
        <v/>
      </c>
      <c r="L98" s="4" t="n"/>
      <c r="M98" s="4" t="n"/>
      <c r="N98" s="4" t="n"/>
      <c r="O98" s="4" t="n"/>
      <c r="P98" s="4" t="n"/>
      <c r="Q98" s="4" t="n"/>
      <c r="R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>
        <f>MAX(0,G99+H99-I99)</f>
        <v/>
      </c>
      <c r="K99" s="4">
        <f>IFERROR(I99/MAX(1,J99)*30,0)</f>
        <v/>
      </c>
      <c r="L99" s="4" t="n"/>
      <c r="M99" s="4" t="n"/>
      <c r="N99" s="4" t="n"/>
      <c r="O99" s="4" t="n"/>
      <c r="P99" s="4" t="n"/>
      <c r="Q99" s="4" t="n"/>
      <c r="R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>
        <f>MAX(0,G100+H100-I100)</f>
        <v/>
      </c>
      <c r="K100" s="4">
        <f>IFERROR(I100/MAX(1,J100)*30,0)</f>
        <v/>
      </c>
      <c r="L100" s="4" t="n"/>
      <c r="M100" s="4" t="n"/>
      <c r="N100" s="4" t="n"/>
      <c r="O100" s="4" t="n"/>
      <c r="P100" s="4" t="n"/>
      <c r="Q100" s="4" t="n"/>
      <c r="R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>
        <f>MAX(0,G101+H101-I101)</f>
        <v/>
      </c>
      <c r="K101" s="4">
        <f>IFERROR(I101/MAX(1,J101)*30,0)</f>
        <v/>
      </c>
      <c r="L101" s="4" t="n"/>
      <c r="M101" s="4" t="n"/>
      <c r="N101" s="4" t="n"/>
      <c r="O101" s="4" t="n"/>
      <c r="P101" s="4" t="n"/>
      <c r="Q101" s="4" t="n"/>
      <c r="R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>
        <f>MAX(0,G102+H102-I102)</f>
        <v/>
      </c>
      <c r="K102" s="4">
        <f>IFERROR(I102/MAX(1,J102)*30,0)</f>
        <v/>
      </c>
      <c r="L102" s="4" t="n"/>
      <c r="M102" s="4" t="n"/>
      <c r="N102" s="4" t="n"/>
      <c r="O102" s="4" t="n"/>
      <c r="P102" s="4" t="n"/>
      <c r="Q102" s="4" t="n"/>
      <c r="R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>
        <f>MAX(0,G103+H103-I103)</f>
        <v/>
      </c>
      <c r="K103" s="4">
        <f>IFERROR(I103/MAX(1,J103)*30,0)</f>
        <v/>
      </c>
      <c r="L103" s="4" t="n"/>
      <c r="M103" s="4" t="n"/>
      <c r="N103" s="4" t="n"/>
      <c r="O103" s="4" t="n"/>
      <c r="P103" s="4" t="n"/>
      <c r="Q103" s="4" t="n"/>
      <c r="R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>
        <f>MAX(0,G104+H104-I104)</f>
        <v/>
      </c>
      <c r="K104" s="4">
        <f>IFERROR(I104/MAX(1,J104)*30,0)</f>
        <v/>
      </c>
      <c r="L104" s="4" t="n"/>
      <c r="M104" s="4" t="n"/>
      <c r="N104" s="4" t="n"/>
      <c r="O104" s="4" t="n"/>
      <c r="P104" s="4" t="n"/>
      <c r="Q104" s="4" t="n"/>
      <c r="R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>
        <f>MAX(0,G105+H105-I105)</f>
        <v/>
      </c>
      <c r="K105" s="4">
        <f>IFERROR(I105/MAX(1,J105)*30,0)</f>
        <v/>
      </c>
      <c r="L105" s="4" t="n"/>
      <c r="M105" s="4" t="n"/>
      <c r="N105" s="4" t="n"/>
      <c r="O105" s="4" t="n"/>
      <c r="P105" s="4" t="n"/>
      <c r="Q105" s="4" t="n"/>
      <c r="R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>
        <f>MAX(0,G106+H106-I106)</f>
        <v/>
      </c>
      <c r="K106" s="4">
        <f>IFERROR(I106/MAX(1,J106)*30,0)</f>
        <v/>
      </c>
      <c r="L106" s="4" t="n"/>
      <c r="M106" s="4" t="n"/>
      <c r="N106" s="4" t="n"/>
      <c r="O106" s="4" t="n"/>
      <c r="P106" s="4" t="n"/>
      <c r="Q106" s="4" t="n"/>
      <c r="R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>
        <f>MAX(0,G107+H107-I107)</f>
        <v/>
      </c>
      <c r="K107" s="4">
        <f>IFERROR(I107/MAX(1,J107)*30,0)</f>
        <v/>
      </c>
      <c r="L107" s="4" t="n"/>
      <c r="M107" s="4" t="n"/>
      <c r="N107" s="4" t="n"/>
      <c r="O107" s="4" t="n"/>
      <c r="P107" s="4" t="n"/>
      <c r="Q107" s="4" t="n"/>
      <c r="R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>
        <f>MAX(0,G108+H108-I108)</f>
        <v/>
      </c>
      <c r="K108" s="4">
        <f>IFERROR(I108/MAX(1,J108)*30,0)</f>
        <v/>
      </c>
      <c r="L108" s="4" t="n"/>
      <c r="M108" s="4" t="n"/>
      <c r="N108" s="4" t="n"/>
      <c r="O108" s="4" t="n"/>
      <c r="P108" s="4" t="n"/>
      <c r="Q108" s="4" t="n"/>
      <c r="R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>
        <f>MAX(0,G109+H109-I109)</f>
        <v/>
      </c>
      <c r="K109" s="4">
        <f>IFERROR(I109/MAX(1,J109)*30,0)</f>
        <v/>
      </c>
      <c r="L109" s="4" t="n"/>
      <c r="M109" s="4" t="n"/>
      <c r="N109" s="4" t="n"/>
      <c r="O109" s="4" t="n"/>
      <c r="P109" s="4" t="n"/>
      <c r="Q109" s="4" t="n"/>
      <c r="R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>
        <f>MAX(0,G110+H110-I110)</f>
        <v/>
      </c>
      <c r="K110" s="4">
        <f>IFERROR(I110/MAX(1,J110)*30,0)</f>
        <v/>
      </c>
      <c r="L110" s="4" t="n"/>
      <c r="M110" s="4" t="n"/>
      <c r="N110" s="4" t="n"/>
      <c r="O110" s="4" t="n"/>
      <c r="P110" s="4" t="n"/>
      <c r="Q110" s="4" t="n"/>
      <c r="R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>
        <f>MAX(0,G111+H111-I111)</f>
        <v/>
      </c>
      <c r="K111" s="4">
        <f>IFERROR(I111/MAX(1,J111)*30,0)</f>
        <v/>
      </c>
      <c r="L111" s="4" t="n"/>
      <c r="M111" s="4" t="n"/>
      <c r="N111" s="4" t="n"/>
      <c r="O111" s="4" t="n"/>
      <c r="P111" s="4" t="n"/>
      <c r="Q111" s="4" t="n"/>
      <c r="R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>
        <f>MAX(0,G112+H112-I112)</f>
        <v/>
      </c>
      <c r="K112" s="4">
        <f>IFERROR(I112/MAX(1,J112)*30,0)</f>
        <v/>
      </c>
      <c r="L112" s="4" t="n"/>
      <c r="M112" s="4" t="n"/>
      <c r="N112" s="4" t="n"/>
      <c r="O112" s="4" t="n"/>
      <c r="P112" s="4" t="n"/>
      <c r="Q112" s="4" t="n"/>
      <c r="R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>
        <f>MAX(0,G113+H113-I113)</f>
        <v/>
      </c>
      <c r="K113" s="4">
        <f>IFERROR(I113/MAX(1,J113)*30,0)</f>
        <v/>
      </c>
      <c r="L113" s="4" t="n"/>
      <c r="M113" s="4" t="n"/>
      <c r="N113" s="4" t="n"/>
      <c r="O113" s="4" t="n"/>
      <c r="P113" s="4" t="n"/>
      <c r="Q113" s="4" t="n"/>
      <c r="R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>
        <f>MAX(0,G114+H114-I114)</f>
        <v/>
      </c>
      <c r="K114" s="4">
        <f>IFERROR(I114/MAX(1,J114)*30,0)</f>
        <v/>
      </c>
      <c r="L114" s="4" t="n"/>
      <c r="M114" s="4" t="n"/>
      <c r="N114" s="4" t="n"/>
      <c r="O114" s="4" t="n"/>
      <c r="P114" s="4" t="n"/>
      <c r="Q114" s="4" t="n"/>
      <c r="R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>
        <f>MAX(0,G115+H115-I115)</f>
        <v/>
      </c>
      <c r="K115" s="4">
        <f>IFERROR(I115/MAX(1,J115)*30,0)</f>
        <v/>
      </c>
      <c r="L115" s="4" t="n"/>
      <c r="M115" s="4" t="n"/>
      <c r="N115" s="4" t="n"/>
      <c r="O115" s="4" t="n"/>
      <c r="P115" s="4" t="n"/>
      <c r="Q115" s="4" t="n"/>
      <c r="R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>
        <f>MAX(0,G116+H116-I116)</f>
        <v/>
      </c>
      <c r="K116" s="4">
        <f>IFERROR(I116/MAX(1,J116)*30,0)</f>
        <v/>
      </c>
      <c r="L116" s="4" t="n"/>
      <c r="M116" s="4" t="n"/>
      <c r="N116" s="4" t="n"/>
      <c r="O116" s="4" t="n"/>
      <c r="P116" s="4" t="n"/>
      <c r="Q116" s="4" t="n"/>
      <c r="R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>
        <f>MAX(0,G117+H117-I117)</f>
        <v/>
      </c>
      <c r="K117" s="4">
        <f>IFERROR(I117/MAX(1,J117)*30,0)</f>
        <v/>
      </c>
      <c r="L117" s="4" t="n"/>
      <c r="M117" s="4" t="n"/>
      <c r="N117" s="4" t="n"/>
      <c r="O117" s="4" t="n"/>
      <c r="P117" s="4" t="n"/>
      <c r="Q117" s="4" t="n"/>
      <c r="R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>
        <f>MAX(0,G118+H118-I118)</f>
        <v/>
      </c>
      <c r="K118" s="4">
        <f>IFERROR(I118/MAX(1,J118)*30,0)</f>
        <v/>
      </c>
      <c r="L118" s="4" t="n"/>
      <c r="M118" s="4" t="n"/>
      <c r="N118" s="4" t="n"/>
      <c r="O118" s="4" t="n"/>
      <c r="P118" s="4" t="n"/>
      <c r="Q118" s="4" t="n"/>
      <c r="R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>
        <f>MAX(0,G119+H119-I119)</f>
        <v/>
      </c>
      <c r="K119" s="4">
        <f>IFERROR(I119/MAX(1,J119)*30,0)</f>
        <v/>
      </c>
      <c r="L119" s="4" t="n"/>
      <c r="M119" s="4" t="n"/>
      <c r="N119" s="4" t="n"/>
      <c r="O119" s="4" t="n"/>
      <c r="P119" s="4" t="n"/>
      <c r="Q119" s="4" t="n"/>
      <c r="R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>
        <f>MAX(0,G120+H120-I120)</f>
        <v/>
      </c>
      <c r="K120" s="4">
        <f>IFERROR(I120/MAX(1,J120)*30,0)</f>
        <v/>
      </c>
      <c r="L120" s="4" t="n"/>
      <c r="M120" s="4" t="n"/>
      <c r="N120" s="4" t="n"/>
      <c r="O120" s="4" t="n"/>
      <c r="P120" s="4" t="n"/>
      <c r="Q120" s="4" t="n"/>
      <c r="R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>
        <f>MAX(0,G121+H121-I121)</f>
        <v/>
      </c>
      <c r="K121" s="4">
        <f>IFERROR(I121/MAX(1,J121)*30,0)</f>
        <v/>
      </c>
      <c r="L121" s="4" t="n"/>
      <c r="M121" s="4" t="n"/>
      <c r="N121" s="4" t="n"/>
      <c r="O121" s="4" t="n"/>
      <c r="P121" s="4" t="n"/>
      <c r="Q121" s="4" t="n"/>
      <c r="R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>
        <f>MAX(0,G122+H122-I122)</f>
        <v/>
      </c>
      <c r="K122" s="4">
        <f>IFERROR(I122/MAX(1,J122)*30,0)</f>
        <v/>
      </c>
      <c r="L122" s="4" t="n"/>
      <c r="M122" s="4" t="n"/>
      <c r="N122" s="4" t="n"/>
      <c r="O122" s="4" t="n"/>
      <c r="P122" s="4" t="n"/>
      <c r="Q122" s="4" t="n"/>
      <c r="R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>
        <f>MAX(0,G123+H123-I123)</f>
        <v/>
      </c>
      <c r="K123" s="4">
        <f>IFERROR(I123/MAX(1,J123)*30,0)</f>
        <v/>
      </c>
      <c r="L123" s="4" t="n"/>
      <c r="M123" s="4" t="n"/>
      <c r="N123" s="4" t="n"/>
      <c r="O123" s="4" t="n"/>
      <c r="P123" s="4" t="n"/>
      <c r="Q123" s="4" t="n"/>
      <c r="R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>
        <f>MAX(0,G124+H124-I124)</f>
        <v/>
      </c>
      <c r="K124" s="4">
        <f>IFERROR(I124/MAX(1,J124)*30,0)</f>
        <v/>
      </c>
      <c r="L124" s="4" t="n"/>
      <c r="M124" s="4" t="n"/>
      <c r="N124" s="4" t="n"/>
      <c r="O124" s="4" t="n"/>
      <c r="P124" s="4" t="n"/>
      <c r="Q124" s="4" t="n"/>
      <c r="R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>
        <f>MAX(0,G125+H125-I125)</f>
        <v/>
      </c>
      <c r="K125" s="4">
        <f>IFERROR(I125/MAX(1,J125)*30,0)</f>
        <v/>
      </c>
      <c r="L125" s="4" t="n"/>
      <c r="M125" s="4" t="n"/>
      <c r="N125" s="4" t="n"/>
      <c r="O125" s="4" t="n"/>
      <c r="P125" s="4" t="n"/>
      <c r="Q125" s="4" t="n"/>
      <c r="R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>
        <f>MAX(0,G126+H126-I126)</f>
        <v/>
      </c>
      <c r="K126" s="4">
        <f>IFERROR(I126/MAX(1,J126)*30,0)</f>
        <v/>
      </c>
      <c r="L126" s="4" t="n"/>
      <c r="M126" s="4" t="n"/>
      <c r="N126" s="4" t="n"/>
      <c r="O126" s="4" t="n"/>
      <c r="P126" s="4" t="n"/>
      <c r="Q126" s="4" t="n"/>
      <c r="R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>
        <f>MAX(0,G127+H127-I127)</f>
        <v/>
      </c>
      <c r="K127" s="4">
        <f>IFERROR(I127/MAX(1,J127)*30,0)</f>
        <v/>
      </c>
      <c r="L127" s="4" t="n"/>
      <c r="M127" s="4" t="n"/>
      <c r="N127" s="4" t="n"/>
      <c r="O127" s="4" t="n"/>
      <c r="P127" s="4" t="n"/>
      <c r="Q127" s="4" t="n"/>
      <c r="R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>
        <f>MAX(0,G128+H128-I128)</f>
        <v/>
      </c>
      <c r="K128" s="4">
        <f>IFERROR(I128/MAX(1,J128)*30,0)</f>
        <v/>
      </c>
      <c r="L128" s="4" t="n"/>
      <c r="M128" s="4" t="n"/>
      <c r="N128" s="4" t="n"/>
      <c r="O128" s="4" t="n"/>
      <c r="P128" s="4" t="n"/>
      <c r="Q128" s="4" t="n"/>
      <c r="R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>
        <f>MAX(0,G129+H129-I129)</f>
        <v/>
      </c>
      <c r="K129" s="4">
        <f>IFERROR(I129/MAX(1,J129)*30,0)</f>
        <v/>
      </c>
      <c r="L129" s="4" t="n"/>
      <c r="M129" s="4" t="n"/>
      <c r="N129" s="4" t="n"/>
      <c r="O129" s="4" t="n"/>
      <c r="P129" s="4" t="n"/>
      <c r="Q129" s="4" t="n"/>
      <c r="R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>
        <f>MAX(0,G130+H130-I130)</f>
        <v/>
      </c>
      <c r="K130" s="4">
        <f>IFERROR(I130/MAX(1,J130)*30,0)</f>
        <v/>
      </c>
      <c r="L130" s="4" t="n"/>
      <c r="M130" s="4" t="n"/>
      <c r="N130" s="4" t="n"/>
      <c r="O130" s="4" t="n"/>
      <c r="P130" s="4" t="n"/>
      <c r="Q130" s="4" t="n"/>
      <c r="R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>
        <f>MAX(0,G131+H131-I131)</f>
        <v/>
      </c>
      <c r="K131" s="4">
        <f>IFERROR(I131/MAX(1,J131)*30,0)</f>
        <v/>
      </c>
      <c r="L131" s="4" t="n"/>
      <c r="M131" s="4" t="n"/>
      <c r="N131" s="4" t="n"/>
      <c r="O131" s="4" t="n"/>
      <c r="P131" s="4" t="n"/>
      <c r="Q131" s="4" t="n"/>
      <c r="R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>
        <f>MAX(0,G132+H132-I132)</f>
        <v/>
      </c>
      <c r="K132" s="4">
        <f>IFERROR(I132/MAX(1,J132)*30,0)</f>
        <v/>
      </c>
      <c r="L132" s="4" t="n"/>
      <c r="M132" s="4" t="n"/>
      <c r="N132" s="4" t="n"/>
      <c r="O132" s="4" t="n"/>
      <c r="P132" s="4" t="n"/>
      <c r="Q132" s="4" t="n"/>
      <c r="R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>
        <f>MAX(0,G133+H133-I133)</f>
        <v/>
      </c>
      <c r="K133" s="4">
        <f>IFERROR(I133/MAX(1,J133)*30,0)</f>
        <v/>
      </c>
      <c r="L133" s="4" t="n"/>
      <c r="M133" s="4" t="n"/>
      <c r="N133" s="4" t="n"/>
      <c r="O133" s="4" t="n"/>
      <c r="P133" s="4" t="n"/>
      <c r="Q133" s="4" t="n"/>
      <c r="R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>
        <f>MAX(0,G134+H134-I134)</f>
        <v/>
      </c>
      <c r="K134" s="4">
        <f>IFERROR(I134/MAX(1,J134)*30,0)</f>
        <v/>
      </c>
      <c r="L134" s="4" t="n"/>
      <c r="M134" s="4" t="n"/>
      <c r="N134" s="4" t="n"/>
      <c r="O134" s="4" t="n"/>
      <c r="P134" s="4" t="n"/>
      <c r="Q134" s="4" t="n"/>
      <c r="R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>
        <f>MAX(0,G135+H135-I135)</f>
        <v/>
      </c>
      <c r="K135" s="4">
        <f>IFERROR(I135/MAX(1,J135)*30,0)</f>
        <v/>
      </c>
      <c r="L135" s="4" t="n"/>
      <c r="M135" s="4" t="n"/>
      <c r="N135" s="4" t="n"/>
      <c r="O135" s="4" t="n"/>
      <c r="P135" s="4" t="n"/>
      <c r="Q135" s="4" t="n"/>
      <c r="R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>
        <f>MAX(0,G136+H136-I136)</f>
        <v/>
      </c>
      <c r="K136" s="4">
        <f>IFERROR(I136/MAX(1,J136)*30,0)</f>
        <v/>
      </c>
      <c r="L136" s="4" t="n"/>
      <c r="M136" s="4" t="n"/>
      <c r="N136" s="4" t="n"/>
      <c r="O136" s="4" t="n"/>
      <c r="P136" s="4" t="n"/>
      <c r="Q136" s="4" t="n"/>
      <c r="R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>
        <f>MAX(0,G137+H137-I137)</f>
        <v/>
      </c>
      <c r="K137" s="4">
        <f>IFERROR(I137/MAX(1,J137)*30,0)</f>
        <v/>
      </c>
      <c r="L137" s="4" t="n"/>
      <c r="M137" s="4" t="n"/>
      <c r="N137" s="4" t="n"/>
      <c r="O137" s="4" t="n"/>
      <c r="P137" s="4" t="n"/>
      <c r="Q137" s="4" t="n"/>
      <c r="R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>
        <f>MAX(0,G138+H138-I138)</f>
        <v/>
      </c>
      <c r="K138" s="4">
        <f>IFERROR(I138/MAX(1,J138)*30,0)</f>
        <v/>
      </c>
      <c r="L138" s="4" t="n"/>
      <c r="M138" s="4" t="n"/>
      <c r="N138" s="4" t="n"/>
      <c r="O138" s="4" t="n"/>
      <c r="P138" s="4" t="n"/>
      <c r="Q138" s="4" t="n"/>
      <c r="R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>
        <f>MAX(0,G139+H139-I139)</f>
        <v/>
      </c>
      <c r="K139" s="4">
        <f>IFERROR(I139/MAX(1,J139)*30,0)</f>
        <v/>
      </c>
      <c r="L139" s="4" t="n"/>
      <c r="M139" s="4" t="n"/>
      <c r="N139" s="4" t="n"/>
      <c r="O139" s="4" t="n"/>
      <c r="P139" s="4" t="n"/>
      <c r="Q139" s="4" t="n"/>
      <c r="R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>
        <f>MAX(0,G140+H140-I140)</f>
        <v/>
      </c>
      <c r="K140" s="4">
        <f>IFERROR(I140/MAX(1,J140)*30,0)</f>
        <v/>
      </c>
      <c r="L140" s="4" t="n"/>
      <c r="M140" s="4" t="n"/>
      <c r="N140" s="4" t="n"/>
      <c r="O140" s="4" t="n"/>
      <c r="P140" s="4" t="n"/>
      <c r="Q140" s="4" t="n"/>
      <c r="R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>
        <f>MAX(0,G141+H141-I141)</f>
        <v/>
      </c>
      <c r="K141" s="4">
        <f>IFERROR(I141/MAX(1,J141)*30,0)</f>
        <v/>
      </c>
      <c r="L141" s="4" t="n"/>
      <c r="M141" s="4" t="n"/>
      <c r="N141" s="4" t="n"/>
      <c r="O141" s="4" t="n"/>
      <c r="P141" s="4" t="n"/>
      <c r="Q141" s="4" t="n"/>
      <c r="R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>
        <f>MAX(0,G142+H142-I142)</f>
        <v/>
      </c>
      <c r="K142" s="4">
        <f>IFERROR(I142/MAX(1,J142)*30,0)</f>
        <v/>
      </c>
      <c r="L142" s="4" t="n"/>
      <c r="M142" s="4" t="n"/>
      <c r="N142" s="4" t="n"/>
      <c r="O142" s="4" t="n"/>
      <c r="P142" s="4" t="n"/>
      <c r="Q142" s="4" t="n"/>
      <c r="R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>
        <f>MAX(0,G143+H143-I143)</f>
        <v/>
      </c>
      <c r="K143" s="4">
        <f>IFERROR(I143/MAX(1,J143)*30,0)</f>
        <v/>
      </c>
      <c r="L143" s="4" t="n"/>
      <c r="M143" s="4" t="n"/>
      <c r="N143" s="4" t="n"/>
      <c r="O143" s="4" t="n"/>
      <c r="P143" s="4" t="n"/>
      <c r="Q143" s="4" t="n"/>
      <c r="R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>
        <f>MAX(0,G144+H144-I144)</f>
        <v/>
      </c>
      <c r="K144" s="4">
        <f>IFERROR(I144/MAX(1,J144)*30,0)</f>
        <v/>
      </c>
      <c r="L144" s="4" t="n"/>
      <c r="M144" s="4" t="n"/>
      <c r="N144" s="4" t="n"/>
      <c r="O144" s="4" t="n"/>
      <c r="P144" s="4" t="n"/>
      <c r="Q144" s="4" t="n"/>
      <c r="R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>
        <f>MAX(0,G145+H145-I145)</f>
        <v/>
      </c>
      <c r="K145" s="4">
        <f>IFERROR(I145/MAX(1,J145)*30,0)</f>
        <v/>
      </c>
      <c r="L145" s="4" t="n"/>
      <c r="M145" s="4" t="n"/>
      <c r="N145" s="4" t="n"/>
      <c r="O145" s="4" t="n"/>
      <c r="P145" s="4" t="n"/>
      <c r="Q145" s="4" t="n"/>
      <c r="R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>
        <f>MAX(0,G146+H146-I146)</f>
        <v/>
      </c>
      <c r="K146" s="4">
        <f>IFERROR(I146/MAX(1,J146)*30,0)</f>
        <v/>
      </c>
      <c r="L146" s="4" t="n"/>
      <c r="M146" s="4" t="n"/>
      <c r="N146" s="4" t="n"/>
      <c r="O146" s="4" t="n"/>
      <c r="P146" s="4" t="n"/>
      <c r="Q146" s="4" t="n"/>
      <c r="R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>
        <f>MAX(0,G147+H147-I147)</f>
        <v/>
      </c>
      <c r="K147" s="4">
        <f>IFERROR(I147/MAX(1,J147)*30,0)</f>
        <v/>
      </c>
      <c r="L147" s="4" t="n"/>
      <c r="M147" s="4" t="n"/>
      <c r="N147" s="4" t="n"/>
      <c r="O147" s="4" t="n"/>
      <c r="P147" s="4" t="n"/>
      <c r="Q147" s="4" t="n"/>
      <c r="R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>
        <f>MAX(0,G148+H148-I148)</f>
        <v/>
      </c>
      <c r="K148" s="4">
        <f>IFERROR(I148/MAX(1,J148)*30,0)</f>
        <v/>
      </c>
      <c r="L148" s="4" t="n"/>
      <c r="M148" s="4" t="n"/>
      <c r="N148" s="4" t="n"/>
      <c r="O148" s="4" t="n"/>
      <c r="P148" s="4" t="n"/>
      <c r="Q148" s="4" t="n"/>
      <c r="R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>
        <f>MAX(0,G149+H149-I149)</f>
        <v/>
      </c>
      <c r="K149" s="4">
        <f>IFERROR(I149/MAX(1,J149)*30,0)</f>
        <v/>
      </c>
      <c r="L149" s="4" t="n"/>
      <c r="M149" s="4" t="n"/>
      <c r="N149" s="4" t="n"/>
      <c r="O149" s="4" t="n"/>
      <c r="P149" s="4" t="n"/>
      <c r="Q149" s="4" t="n"/>
      <c r="R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>
        <f>MAX(0,G150+H150-I150)</f>
        <v/>
      </c>
      <c r="K150" s="4">
        <f>IFERROR(I150/MAX(1,J150)*30,0)</f>
        <v/>
      </c>
      <c r="L150" s="4" t="n"/>
      <c r="M150" s="4" t="n"/>
      <c r="N150" s="4" t="n"/>
      <c r="O150" s="4" t="n"/>
      <c r="P150" s="4" t="n"/>
      <c r="Q150" s="4" t="n"/>
      <c r="R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>
        <f>MAX(0,G151+H151-I151)</f>
        <v/>
      </c>
      <c r="K151" s="4">
        <f>IFERROR(I151/MAX(1,J151)*30,0)</f>
        <v/>
      </c>
      <c r="L151" s="4" t="n"/>
      <c r="M151" s="4" t="n"/>
      <c r="N151" s="4" t="n"/>
      <c r="O151" s="4" t="n"/>
      <c r="P151" s="4" t="n"/>
      <c r="Q151" s="4" t="n"/>
      <c r="R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>
        <f>MAX(0,G152+H152-I152)</f>
        <v/>
      </c>
      <c r="K152" s="4">
        <f>IFERROR(I152/MAX(1,J152)*30,0)</f>
        <v/>
      </c>
      <c r="L152" s="4" t="n"/>
      <c r="M152" s="4" t="n"/>
      <c r="N152" s="4" t="n"/>
      <c r="O152" s="4" t="n"/>
      <c r="P152" s="4" t="n"/>
      <c r="Q152" s="4" t="n"/>
      <c r="R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>
        <f>MAX(0,G153+H153-I153)</f>
        <v/>
      </c>
      <c r="K153" s="4">
        <f>IFERROR(I153/MAX(1,J153)*30,0)</f>
        <v/>
      </c>
      <c r="L153" s="4" t="n"/>
      <c r="M153" s="4" t="n"/>
      <c r="N153" s="4" t="n"/>
      <c r="O153" s="4" t="n"/>
      <c r="P153" s="4" t="n"/>
      <c r="Q153" s="4" t="n"/>
      <c r="R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>
        <f>MAX(0,G154+H154-I154)</f>
        <v/>
      </c>
      <c r="K154" s="4">
        <f>IFERROR(I154/MAX(1,J154)*30,0)</f>
        <v/>
      </c>
      <c r="L154" s="4" t="n"/>
      <c r="M154" s="4" t="n"/>
      <c r="N154" s="4" t="n"/>
      <c r="O154" s="4" t="n"/>
      <c r="P154" s="4" t="n"/>
      <c r="Q154" s="4" t="n"/>
      <c r="R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>
        <f>MAX(0,G155+H155-I155)</f>
        <v/>
      </c>
      <c r="K155" s="4">
        <f>IFERROR(I155/MAX(1,J155)*30,0)</f>
        <v/>
      </c>
      <c r="L155" s="4" t="n"/>
      <c r="M155" s="4" t="n"/>
      <c r="N155" s="4" t="n"/>
      <c r="O155" s="4" t="n"/>
      <c r="P155" s="4" t="n"/>
      <c r="Q155" s="4" t="n"/>
      <c r="R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>
        <f>MAX(0,G156+H156-I156)</f>
        <v/>
      </c>
      <c r="K156" s="4">
        <f>IFERROR(I156/MAX(1,J156)*30,0)</f>
        <v/>
      </c>
      <c r="L156" s="4" t="n"/>
      <c r="M156" s="4" t="n"/>
      <c r="N156" s="4" t="n"/>
      <c r="O156" s="4" t="n"/>
      <c r="P156" s="4" t="n"/>
      <c r="Q156" s="4" t="n"/>
      <c r="R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>
        <f>MAX(0,G157+H157-I157)</f>
        <v/>
      </c>
      <c r="K157" s="4">
        <f>IFERROR(I157/MAX(1,J157)*30,0)</f>
        <v/>
      </c>
      <c r="L157" s="4" t="n"/>
      <c r="M157" s="4" t="n"/>
      <c r="N157" s="4" t="n"/>
      <c r="O157" s="4" t="n"/>
      <c r="P157" s="4" t="n"/>
      <c r="Q157" s="4" t="n"/>
      <c r="R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>
        <f>MAX(0,G158+H158-I158)</f>
        <v/>
      </c>
      <c r="K158" s="4">
        <f>IFERROR(I158/MAX(1,J158)*30,0)</f>
        <v/>
      </c>
      <c r="L158" s="4" t="n"/>
      <c r="M158" s="4" t="n"/>
      <c r="N158" s="4" t="n"/>
      <c r="O158" s="4" t="n"/>
      <c r="P158" s="4" t="n"/>
      <c r="Q158" s="4" t="n"/>
      <c r="R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>
        <f>MAX(0,G159+H159-I159)</f>
        <v/>
      </c>
      <c r="K159" s="4">
        <f>IFERROR(I159/MAX(1,J159)*30,0)</f>
        <v/>
      </c>
      <c r="L159" s="4" t="n"/>
      <c r="M159" s="4" t="n"/>
      <c r="N159" s="4" t="n"/>
      <c r="O159" s="4" t="n"/>
      <c r="P159" s="4" t="n"/>
      <c r="Q159" s="4" t="n"/>
      <c r="R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>
        <f>MAX(0,G160+H160-I160)</f>
        <v/>
      </c>
      <c r="K160" s="4">
        <f>IFERROR(I160/MAX(1,J160)*30,0)</f>
        <v/>
      </c>
      <c r="L160" s="4" t="n"/>
      <c r="M160" s="4" t="n"/>
      <c r="N160" s="4" t="n"/>
      <c r="O160" s="4" t="n"/>
      <c r="P160" s="4" t="n"/>
      <c r="Q160" s="4" t="n"/>
      <c r="R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>
        <f>MAX(0,G161+H161-I161)</f>
        <v/>
      </c>
      <c r="K161" s="4">
        <f>IFERROR(I161/MAX(1,J161)*30,0)</f>
        <v/>
      </c>
      <c r="L161" s="4" t="n"/>
      <c r="M161" s="4" t="n"/>
      <c r="N161" s="4" t="n"/>
      <c r="O161" s="4" t="n"/>
      <c r="P161" s="4" t="n"/>
      <c r="Q161" s="4" t="n"/>
      <c r="R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>
        <f>MAX(0,G162+H162-I162)</f>
        <v/>
      </c>
      <c r="K162" s="4">
        <f>IFERROR(I162/MAX(1,J162)*30,0)</f>
        <v/>
      </c>
      <c r="L162" s="4" t="n"/>
      <c r="M162" s="4" t="n"/>
      <c r="N162" s="4" t="n"/>
      <c r="O162" s="4" t="n"/>
      <c r="P162" s="4" t="n"/>
      <c r="Q162" s="4" t="n"/>
      <c r="R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>
        <f>MAX(0,G163+H163-I163)</f>
        <v/>
      </c>
      <c r="K163" s="4">
        <f>IFERROR(I163/MAX(1,J163)*30,0)</f>
        <v/>
      </c>
      <c r="L163" s="4" t="n"/>
      <c r="M163" s="4" t="n"/>
      <c r="N163" s="4" t="n"/>
      <c r="O163" s="4" t="n"/>
      <c r="P163" s="4" t="n"/>
      <c r="Q163" s="4" t="n"/>
      <c r="R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>
        <f>MAX(0,G164+H164-I164)</f>
        <v/>
      </c>
      <c r="K164" s="4">
        <f>IFERROR(I164/MAX(1,J164)*30,0)</f>
        <v/>
      </c>
      <c r="L164" s="4" t="n"/>
      <c r="M164" s="4" t="n"/>
      <c r="N164" s="4" t="n"/>
      <c r="O164" s="4" t="n"/>
      <c r="P164" s="4" t="n"/>
      <c r="Q164" s="4" t="n"/>
      <c r="R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>
        <f>MAX(0,G165+H165-I165)</f>
        <v/>
      </c>
      <c r="K165" s="4">
        <f>IFERROR(I165/MAX(1,J165)*30,0)</f>
        <v/>
      </c>
      <c r="L165" s="4" t="n"/>
      <c r="M165" s="4" t="n"/>
      <c r="N165" s="4" t="n"/>
      <c r="O165" s="4" t="n"/>
      <c r="P165" s="4" t="n"/>
      <c r="Q165" s="4" t="n"/>
      <c r="R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>
        <f>MAX(0,G166+H166-I166)</f>
        <v/>
      </c>
      <c r="K166" s="4">
        <f>IFERROR(I166/MAX(1,J166)*30,0)</f>
        <v/>
      </c>
      <c r="L166" s="4" t="n"/>
      <c r="M166" s="4" t="n"/>
      <c r="N166" s="4" t="n"/>
      <c r="O166" s="4" t="n"/>
      <c r="P166" s="4" t="n"/>
      <c r="Q166" s="4" t="n"/>
      <c r="R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>
        <f>MAX(0,G167+H167-I167)</f>
        <v/>
      </c>
      <c r="K167" s="4">
        <f>IFERROR(I167/MAX(1,J167)*30,0)</f>
        <v/>
      </c>
      <c r="L167" s="4" t="n"/>
      <c r="M167" s="4" t="n"/>
      <c r="N167" s="4" t="n"/>
      <c r="O167" s="4" t="n"/>
      <c r="P167" s="4" t="n"/>
      <c r="Q167" s="4" t="n"/>
      <c r="R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>
        <f>MAX(0,G168+H168-I168)</f>
        <v/>
      </c>
      <c r="K168" s="4">
        <f>IFERROR(I168/MAX(1,J168)*30,0)</f>
        <v/>
      </c>
      <c r="L168" s="4" t="n"/>
      <c r="M168" s="4" t="n"/>
      <c r="N168" s="4" t="n"/>
      <c r="O168" s="4" t="n"/>
      <c r="P168" s="4" t="n"/>
      <c r="Q168" s="4" t="n"/>
      <c r="R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>
        <f>MAX(0,G169+H169-I169)</f>
        <v/>
      </c>
      <c r="K169" s="4">
        <f>IFERROR(I169/MAX(1,J169)*30,0)</f>
        <v/>
      </c>
      <c r="L169" s="4" t="n"/>
      <c r="M169" s="4" t="n"/>
      <c r="N169" s="4" t="n"/>
      <c r="O169" s="4" t="n"/>
      <c r="P169" s="4" t="n"/>
      <c r="Q169" s="4" t="n"/>
      <c r="R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>
        <f>MAX(0,G170+H170-I170)</f>
        <v/>
      </c>
      <c r="K170" s="4">
        <f>IFERROR(I170/MAX(1,J170)*30,0)</f>
        <v/>
      </c>
      <c r="L170" s="4" t="n"/>
      <c r="M170" s="4" t="n"/>
      <c r="N170" s="4" t="n"/>
      <c r="O170" s="4" t="n"/>
      <c r="P170" s="4" t="n"/>
      <c r="Q170" s="4" t="n"/>
      <c r="R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>
        <f>MAX(0,G171+H171-I171)</f>
        <v/>
      </c>
      <c r="K171" s="4">
        <f>IFERROR(I171/MAX(1,J171)*30,0)</f>
        <v/>
      </c>
      <c r="L171" s="4" t="n"/>
      <c r="M171" s="4" t="n"/>
      <c r="N171" s="4" t="n"/>
      <c r="O171" s="4" t="n"/>
      <c r="P171" s="4" t="n"/>
      <c r="Q171" s="4" t="n"/>
      <c r="R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>
        <f>MAX(0,G172+H172-I172)</f>
        <v/>
      </c>
      <c r="K172" s="4">
        <f>IFERROR(I172/MAX(1,J172)*30,0)</f>
        <v/>
      </c>
      <c r="L172" s="4" t="n"/>
      <c r="M172" s="4" t="n"/>
      <c r="N172" s="4" t="n"/>
      <c r="O172" s="4" t="n"/>
      <c r="P172" s="4" t="n"/>
      <c r="Q172" s="4" t="n"/>
      <c r="R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>
        <f>MAX(0,G173+H173-I173)</f>
        <v/>
      </c>
      <c r="K173" s="4">
        <f>IFERROR(I173/MAX(1,J173)*30,0)</f>
        <v/>
      </c>
      <c r="L173" s="4" t="n"/>
      <c r="M173" s="4" t="n"/>
      <c r="N173" s="4" t="n"/>
      <c r="O173" s="4" t="n"/>
      <c r="P173" s="4" t="n"/>
      <c r="Q173" s="4" t="n"/>
      <c r="R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>
        <f>MAX(0,G174+H174-I174)</f>
        <v/>
      </c>
      <c r="K174" s="4">
        <f>IFERROR(I174/MAX(1,J174)*30,0)</f>
        <v/>
      </c>
      <c r="L174" s="4" t="n"/>
      <c r="M174" s="4" t="n"/>
      <c r="N174" s="4" t="n"/>
      <c r="O174" s="4" t="n"/>
      <c r="P174" s="4" t="n"/>
      <c r="Q174" s="4" t="n"/>
      <c r="R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>
        <f>MAX(0,G175+H175-I175)</f>
        <v/>
      </c>
      <c r="K175" s="4">
        <f>IFERROR(I175/MAX(1,J175)*30,0)</f>
        <v/>
      </c>
      <c r="L175" s="4" t="n"/>
      <c r="M175" s="4" t="n"/>
      <c r="N175" s="4" t="n"/>
      <c r="O175" s="4" t="n"/>
      <c r="P175" s="4" t="n"/>
      <c r="Q175" s="4" t="n"/>
      <c r="R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>
        <f>MAX(0,G176+H176-I176)</f>
        <v/>
      </c>
      <c r="K176" s="4">
        <f>IFERROR(I176/MAX(1,J176)*30,0)</f>
        <v/>
      </c>
      <c r="L176" s="4" t="n"/>
      <c r="M176" s="4" t="n"/>
      <c r="N176" s="4" t="n"/>
      <c r="O176" s="4" t="n"/>
      <c r="P176" s="4" t="n"/>
      <c r="Q176" s="4" t="n"/>
      <c r="R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>
        <f>MAX(0,G177+H177-I177)</f>
        <v/>
      </c>
      <c r="K177" s="4">
        <f>IFERROR(I177/MAX(1,J177)*30,0)</f>
        <v/>
      </c>
      <c r="L177" s="4" t="n"/>
      <c r="M177" s="4" t="n"/>
      <c r="N177" s="4" t="n"/>
      <c r="O177" s="4" t="n"/>
      <c r="P177" s="4" t="n"/>
      <c r="Q177" s="4" t="n"/>
      <c r="R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>
        <f>MAX(0,G178+H178-I178)</f>
        <v/>
      </c>
      <c r="K178" s="4">
        <f>IFERROR(I178/MAX(1,J178)*30,0)</f>
        <v/>
      </c>
      <c r="L178" s="4" t="n"/>
      <c r="M178" s="4" t="n"/>
      <c r="N178" s="4" t="n"/>
      <c r="O178" s="4" t="n"/>
      <c r="P178" s="4" t="n"/>
      <c r="Q178" s="4" t="n"/>
      <c r="R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>
        <f>MAX(0,G179+H179-I179)</f>
        <v/>
      </c>
      <c r="K179" s="4">
        <f>IFERROR(I179/MAX(1,J179)*30,0)</f>
        <v/>
      </c>
      <c r="L179" s="4" t="n"/>
      <c r="M179" s="4" t="n"/>
      <c r="N179" s="4" t="n"/>
      <c r="O179" s="4" t="n"/>
      <c r="P179" s="4" t="n"/>
      <c r="Q179" s="4" t="n"/>
      <c r="R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>
        <f>MAX(0,G180+H180-I180)</f>
        <v/>
      </c>
      <c r="K180" s="4">
        <f>IFERROR(I180/MAX(1,J180)*30,0)</f>
        <v/>
      </c>
      <c r="L180" s="4" t="n"/>
      <c r="M180" s="4" t="n"/>
      <c r="N180" s="4" t="n"/>
      <c r="O180" s="4" t="n"/>
      <c r="P180" s="4" t="n"/>
      <c r="Q180" s="4" t="n"/>
      <c r="R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>
        <f>MAX(0,G181+H181-I181)</f>
        <v/>
      </c>
      <c r="K181" s="4">
        <f>IFERROR(I181/MAX(1,J181)*30,0)</f>
        <v/>
      </c>
      <c r="L181" s="4" t="n"/>
      <c r="M181" s="4" t="n"/>
      <c r="N181" s="4" t="n"/>
      <c r="O181" s="4" t="n"/>
      <c r="P181" s="4" t="n"/>
      <c r="Q181" s="4" t="n"/>
      <c r="R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>
        <f>MAX(0,G182+H182-I182)</f>
        <v/>
      </c>
      <c r="K182" s="4">
        <f>IFERROR(I182/MAX(1,J182)*30,0)</f>
        <v/>
      </c>
      <c r="L182" s="4" t="n"/>
      <c r="M182" s="4" t="n"/>
      <c r="N182" s="4" t="n"/>
      <c r="O182" s="4" t="n"/>
      <c r="P182" s="4" t="n"/>
      <c r="Q182" s="4" t="n"/>
      <c r="R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>
        <f>MAX(0,G183+H183-I183)</f>
        <v/>
      </c>
      <c r="K183" s="4">
        <f>IFERROR(I183/MAX(1,J183)*30,0)</f>
        <v/>
      </c>
      <c r="L183" s="4" t="n"/>
      <c r="M183" s="4" t="n"/>
      <c r="N183" s="4" t="n"/>
      <c r="O183" s="4" t="n"/>
      <c r="P183" s="4" t="n"/>
      <c r="Q183" s="4" t="n"/>
      <c r="R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>
        <f>MAX(0,G184+H184-I184)</f>
        <v/>
      </c>
      <c r="K184" s="4">
        <f>IFERROR(I184/MAX(1,J184)*30,0)</f>
        <v/>
      </c>
      <c r="L184" s="4" t="n"/>
      <c r="M184" s="4" t="n"/>
      <c r="N184" s="4" t="n"/>
      <c r="O184" s="4" t="n"/>
      <c r="P184" s="4" t="n"/>
      <c r="Q184" s="4" t="n"/>
      <c r="R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>
        <f>MAX(0,G185+H185-I185)</f>
        <v/>
      </c>
      <c r="K185" s="4">
        <f>IFERROR(I185/MAX(1,J185)*30,0)</f>
        <v/>
      </c>
      <c r="L185" s="4" t="n"/>
      <c r="M185" s="4" t="n"/>
      <c r="N185" s="4" t="n"/>
      <c r="O185" s="4" t="n"/>
      <c r="P185" s="4" t="n"/>
      <c r="Q185" s="4" t="n"/>
      <c r="R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>
        <f>MAX(0,G186+H186-I186)</f>
        <v/>
      </c>
      <c r="K186" s="4">
        <f>IFERROR(I186/MAX(1,J186)*30,0)</f>
        <v/>
      </c>
      <c r="L186" s="4" t="n"/>
      <c r="M186" s="4" t="n"/>
      <c r="N186" s="4" t="n"/>
      <c r="O186" s="4" t="n"/>
      <c r="P186" s="4" t="n"/>
      <c r="Q186" s="4" t="n"/>
      <c r="R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>
        <f>MAX(0,G187+H187-I187)</f>
        <v/>
      </c>
      <c r="K187" s="4">
        <f>IFERROR(I187/MAX(1,J187)*30,0)</f>
        <v/>
      </c>
      <c r="L187" s="4" t="n"/>
      <c r="M187" s="4" t="n"/>
      <c r="N187" s="4" t="n"/>
      <c r="O187" s="4" t="n"/>
      <c r="P187" s="4" t="n"/>
      <c r="Q187" s="4" t="n"/>
      <c r="R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>
        <f>MAX(0,G188+H188-I188)</f>
        <v/>
      </c>
      <c r="K188" s="4">
        <f>IFERROR(I188/MAX(1,J188)*30,0)</f>
        <v/>
      </c>
      <c r="L188" s="4" t="n"/>
      <c r="M188" s="4" t="n"/>
      <c r="N188" s="4" t="n"/>
      <c r="O188" s="4" t="n"/>
      <c r="P188" s="4" t="n"/>
      <c r="Q188" s="4" t="n"/>
      <c r="R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>
        <f>MAX(0,G189+H189-I189)</f>
        <v/>
      </c>
      <c r="K189" s="4">
        <f>IFERROR(I189/MAX(1,J189)*30,0)</f>
        <v/>
      </c>
      <c r="L189" s="4" t="n"/>
      <c r="M189" s="4" t="n"/>
      <c r="N189" s="4" t="n"/>
      <c r="O189" s="4" t="n"/>
      <c r="P189" s="4" t="n"/>
      <c r="Q189" s="4" t="n"/>
      <c r="R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>
        <f>MAX(0,G190+H190-I190)</f>
        <v/>
      </c>
      <c r="K190" s="4">
        <f>IFERROR(I190/MAX(1,J190)*30,0)</f>
        <v/>
      </c>
      <c r="L190" s="4" t="n"/>
      <c r="M190" s="4" t="n"/>
      <c r="N190" s="4" t="n"/>
      <c r="O190" s="4" t="n"/>
      <c r="P190" s="4" t="n"/>
      <c r="Q190" s="4" t="n"/>
      <c r="R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>
        <f>MAX(0,G191+H191-I191)</f>
        <v/>
      </c>
      <c r="K191" s="4">
        <f>IFERROR(I191/MAX(1,J191)*30,0)</f>
        <v/>
      </c>
      <c r="L191" s="4" t="n"/>
      <c r="M191" s="4" t="n"/>
      <c r="N191" s="4" t="n"/>
      <c r="O191" s="4" t="n"/>
      <c r="P191" s="4" t="n"/>
      <c r="Q191" s="4" t="n"/>
      <c r="R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>
        <f>MAX(0,G192+H192-I192)</f>
        <v/>
      </c>
      <c r="K192" s="4">
        <f>IFERROR(I192/MAX(1,J192)*30,0)</f>
        <v/>
      </c>
      <c r="L192" s="4" t="n"/>
      <c r="M192" s="4" t="n"/>
      <c r="N192" s="4" t="n"/>
      <c r="O192" s="4" t="n"/>
      <c r="P192" s="4" t="n"/>
      <c r="Q192" s="4" t="n"/>
      <c r="R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>
        <f>MAX(0,G193+H193-I193)</f>
        <v/>
      </c>
      <c r="K193" s="4">
        <f>IFERROR(I193/MAX(1,J193)*30,0)</f>
        <v/>
      </c>
      <c r="L193" s="4" t="n"/>
      <c r="M193" s="4" t="n"/>
      <c r="N193" s="4" t="n"/>
      <c r="O193" s="4" t="n"/>
      <c r="P193" s="4" t="n"/>
      <c r="Q193" s="4" t="n"/>
      <c r="R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>
        <f>MAX(0,G194+H194-I194)</f>
        <v/>
      </c>
      <c r="K194" s="4">
        <f>IFERROR(I194/MAX(1,J194)*30,0)</f>
        <v/>
      </c>
      <c r="L194" s="4" t="n"/>
      <c r="M194" s="4" t="n"/>
      <c r="N194" s="4" t="n"/>
      <c r="O194" s="4" t="n"/>
      <c r="P194" s="4" t="n"/>
      <c r="Q194" s="4" t="n"/>
      <c r="R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>
        <f>MAX(0,G195+H195-I195)</f>
        <v/>
      </c>
      <c r="K195" s="4">
        <f>IFERROR(I195/MAX(1,J195)*30,0)</f>
        <v/>
      </c>
      <c r="L195" s="4" t="n"/>
      <c r="M195" s="4" t="n"/>
      <c r="N195" s="4" t="n"/>
      <c r="O195" s="4" t="n"/>
      <c r="P195" s="4" t="n"/>
      <c r="Q195" s="4" t="n"/>
      <c r="R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>
        <f>MAX(0,G196+H196-I196)</f>
        <v/>
      </c>
      <c r="K196" s="4">
        <f>IFERROR(I196/MAX(1,J196)*30,0)</f>
        <v/>
      </c>
      <c r="L196" s="4" t="n"/>
      <c r="M196" s="4" t="n"/>
      <c r="N196" s="4" t="n"/>
      <c r="O196" s="4" t="n"/>
      <c r="P196" s="4" t="n"/>
      <c r="Q196" s="4" t="n"/>
      <c r="R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>
        <f>MAX(0,G197+H197-I197)</f>
        <v/>
      </c>
      <c r="K197" s="4">
        <f>IFERROR(I197/MAX(1,J197)*30,0)</f>
        <v/>
      </c>
      <c r="L197" s="4" t="n"/>
      <c r="M197" s="4" t="n"/>
      <c r="N197" s="4" t="n"/>
      <c r="O197" s="4" t="n"/>
      <c r="P197" s="4" t="n"/>
      <c r="Q197" s="4" t="n"/>
      <c r="R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>
        <f>MAX(0,G198+H198-I198)</f>
        <v/>
      </c>
      <c r="K198" s="4">
        <f>IFERROR(I198/MAX(1,J198)*30,0)</f>
        <v/>
      </c>
      <c r="L198" s="4" t="n"/>
      <c r="M198" s="4" t="n"/>
      <c r="N198" s="4" t="n"/>
      <c r="O198" s="4" t="n"/>
      <c r="P198" s="4" t="n"/>
      <c r="Q198" s="4" t="n"/>
      <c r="R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>
        <f>MAX(0,G199+H199-I199)</f>
        <v/>
      </c>
      <c r="K199" s="4">
        <f>IFERROR(I199/MAX(1,J199)*30,0)</f>
        <v/>
      </c>
      <c r="L199" s="4" t="n"/>
      <c r="M199" s="4" t="n"/>
      <c r="N199" s="4" t="n"/>
      <c r="O199" s="4" t="n"/>
      <c r="P199" s="4" t="n"/>
      <c r="Q199" s="4" t="n"/>
      <c r="R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>
        <f>MAX(0,G200+H200-I200)</f>
        <v/>
      </c>
      <c r="K200" s="4">
        <f>IFERROR(I200/MAX(1,J200)*30,0)</f>
        <v/>
      </c>
      <c r="L200" s="4" t="n"/>
      <c r="M200" s="4" t="n"/>
      <c r="N200" s="4" t="n"/>
      <c r="O200" s="4" t="n"/>
      <c r="P200" s="4" t="n"/>
      <c r="Q200" s="4" t="n"/>
      <c r="R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>
        <f>MAX(0,G201+H201-I201)</f>
        <v/>
      </c>
      <c r="K201" s="4">
        <f>IFERROR(I201/MAX(1,J201)*30,0)</f>
        <v/>
      </c>
      <c r="L201" s="4" t="n"/>
      <c r="M201" s="4" t="n"/>
      <c r="N201" s="4" t="n"/>
      <c r="O201" s="4" t="n"/>
      <c r="P201" s="4" t="n"/>
      <c r="Q201" s="4" t="n"/>
      <c r="R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>
        <f>MAX(0,G202+H202-I202)</f>
        <v/>
      </c>
      <c r="K202" s="4">
        <f>IFERROR(I202/MAX(1,J202)*30,0)</f>
        <v/>
      </c>
      <c r="L202" s="4" t="n"/>
      <c r="M202" s="4" t="n"/>
      <c r="N202" s="4" t="n"/>
      <c r="O202" s="4" t="n"/>
      <c r="P202" s="4" t="n"/>
      <c r="Q202" s="4" t="n"/>
      <c r="R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>
        <f>MAX(0,G203+H203-I203)</f>
        <v/>
      </c>
      <c r="K203" s="4">
        <f>IFERROR(I203/MAX(1,J203)*30,0)</f>
        <v/>
      </c>
      <c r="L203" s="4" t="n"/>
      <c r="M203" s="4" t="n"/>
      <c r="N203" s="4" t="n"/>
      <c r="O203" s="4" t="n"/>
      <c r="P203" s="4" t="n"/>
      <c r="Q203" s="4" t="n"/>
      <c r="R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>
        <f>MAX(0,G204+H204-I204)</f>
        <v/>
      </c>
      <c r="K204" s="4">
        <f>IFERROR(I204/MAX(1,J204)*30,0)</f>
        <v/>
      </c>
      <c r="L204" s="4" t="n"/>
      <c r="M204" s="4" t="n"/>
      <c r="N204" s="4" t="n"/>
      <c r="O204" s="4" t="n"/>
      <c r="P204" s="4" t="n"/>
      <c r="Q204" s="4" t="n"/>
      <c r="R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>
        <f>MAX(0,G205+H205-I205)</f>
        <v/>
      </c>
      <c r="K205" s="4">
        <f>IFERROR(I205/MAX(1,J205)*30,0)</f>
        <v/>
      </c>
      <c r="L205" s="4" t="n"/>
      <c r="M205" s="4" t="n"/>
      <c r="N205" s="4" t="n"/>
      <c r="O205" s="4" t="n"/>
      <c r="P205" s="4" t="n"/>
      <c r="Q205" s="4" t="n"/>
      <c r="R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>
        <f>MAX(0,G206+H206-I206)</f>
        <v/>
      </c>
      <c r="K206" s="4">
        <f>IFERROR(I206/MAX(1,J206)*30,0)</f>
        <v/>
      </c>
      <c r="L206" s="4" t="n"/>
      <c r="M206" s="4" t="n"/>
      <c r="N206" s="4" t="n"/>
      <c r="O206" s="4" t="n"/>
      <c r="P206" s="4" t="n"/>
      <c r="Q206" s="4" t="n"/>
      <c r="R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>
        <f>MAX(0,G207+H207-I207)</f>
        <v/>
      </c>
      <c r="K207" s="4">
        <f>IFERROR(I207/MAX(1,J207)*30,0)</f>
        <v/>
      </c>
      <c r="L207" s="4" t="n"/>
      <c r="M207" s="4" t="n"/>
      <c r="N207" s="4" t="n"/>
      <c r="O207" s="4" t="n"/>
      <c r="P207" s="4" t="n"/>
      <c r="Q207" s="4" t="n"/>
      <c r="R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>
        <f>MAX(0,G208+H208-I208)</f>
        <v/>
      </c>
      <c r="K208" s="4">
        <f>IFERROR(I208/MAX(1,J208)*30,0)</f>
        <v/>
      </c>
      <c r="L208" s="4" t="n"/>
      <c r="M208" s="4" t="n"/>
      <c r="N208" s="4" t="n"/>
      <c r="O208" s="4" t="n"/>
      <c r="P208" s="4" t="n"/>
      <c r="Q208" s="4" t="n"/>
      <c r="R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>
        <f>MAX(0,G209+H209-I209)</f>
        <v/>
      </c>
      <c r="K209" s="4">
        <f>IFERROR(I209/MAX(1,J209)*30,0)</f>
        <v/>
      </c>
      <c r="L209" s="4" t="n"/>
      <c r="M209" s="4" t="n"/>
      <c r="N209" s="4" t="n"/>
      <c r="O209" s="4" t="n"/>
      <c r="P209" s="4" t="n"/>
      <c r="Q209" s="4" t="n"/>
      <c r="R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>
        <f>MAX(0,G210+H210-I210)</f>
        <v/>
      </c>
      <c r="K210" s="4">
        <f>IFERROR(I210/MAX(1,J210)*30,0)</f>
        <v/>
      </c>
      <c r="L210" s="4" t="n"/>
      <c r="M210" s="4" t="n"/>
      <c r="N210" s="4" t="n"/>
      <c r="O210" s="4" t="n"/>
      <c r="P210" s="4" t="n"/>
      <c r="Q210" s="4" t="n"/>
      <c r="R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>
        <f>MAX(0,G211+H211-I211)</f>
        <v/>
      </c>
      <c r="K211" s="4">
        <f>IFERROR(I211/MAX(1,J211)*30,0)</f>
        <v/>
      </c>
      <c r="L211" s="4" t="n"/>
      <c r="M211" s="4" t="n"/>
      <c r="N211" s="4" t="n"/>
      <c r="O211" s="4" t="n"/>
      <c r="P211" s="4" t="n"/>
      <c r="Q211" s="4" t="n"/>
      <c r="R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>
        <f>MAX(0,G212+H212-I212)</f>
        <v/>
      </c>
      <c r="K212" s="4">
        <f>IFERROR(I212/MAX(1,J212)*30,0)</f>
        <v/>
      </c>
      <c r="L212" s="4" t="n"/>
      <c r="M212" s="4" t="n"/>
      <c r="N212" s="4" t="n"/>
      <c r="O212" s="4" t="n"/>
      <c r="P212" s="4" t="n"/>
      <c r="Q212" s="4" t="n"/>
      <c r="R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>
        <f>MAX(0,G213+H213-I213)</f>
        <v/>
      </c>
      <c r="K213" s="4">
        <f>IFERROR(I213/MAX(1,J213)*30,0)</f>
        <v/>
      </c>
      <c r="L213" s="4" t="n"/>
      <c r="M213" s="4" t="n"/>
      <c r="N213" s="4" t="n"/>
      <c r="O213" s="4" t="n"/>
      <c r="P213" s="4" t="n"/>
      <c r="Q213" s="4" t="n"/>
      <c r="R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>
        <f>MAX(0,G214+H214-I214)</f>
        <v/>
      </c>
      <c r="K214" s="4">
        <f>IFERROR(I214/MAX(1,J214)*30,0)</f>
        <v/>
      </c>
      <c r="L214" s="4" t="n"/>
      <c r="M214" s="4" t="n"/>
      <c r="N214" s="4" t="n"/>
      <c r="O214" s="4" t="n"/>
      <c r="P214" s="4" t="n"/>
      <c r="Q214" s="4" t="n"/>
      <c r="R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>
        <f>MAX(0,G215+H215-I215)</f>
        <v/>
      </c>
      <c r="K215" s="4">
        <f>IFERROR(I215/MAX(1,J215)*30,0)</f>
        <v/>
      </c>
      <c r="L215" s="4" t="n"/>
      <c r="M215" s="4" t="n"/>
      <c r="N215" s="4" t="n"/>
      <c r="O215" s="4" t="n"/>
      <c r="P215" s="4" t="n"/>
      <c r="Q215" s="4" t="n"/>
      <c r="R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>
        <f>MAX(0,G216+H216-I216)</f>
        <v/>
      </c>
      <c r="K216" s="4">
        <f>IFERROR(I216/MAX(1,J216)*30,0)</f>
        <v/>
      </c>
      <c r="L216" s="4" t="n"/>
      <c r="M216" s="4" t="n"/>
      <c r="N216" s="4" t="n"/>
      <c r="O216" s="4" t="n"/>
      <c r="P216" s="4" t="n"/>
      <c r="Q216" s="4" t="n"/>
      <c r="R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>
        <f>MAX(0,G217+H217-I217)</f>
        <v/>
      </c>
      <c r="K217" s="4">
        <f>IFERROR(I217/MAX(1,J217)*30,0)</f>
        <v/>
      </c>
      <c r="L217" s="4" t="n"/>
      <c r="M217" s="4" t="n"/>
      <c r="N217" s="4" t="n"/>
      <c r="O217" s="4" t="n"/>
      <c r="P217" s="4" t="n"/>
      <c r="Q217" s="4" t="n"/>
      <c r="R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>
        <f>MAX(0,G218+H218-I218)</f>
        <v/>
      </c>
      <c r="K218" s="4">
        <f>IFERROR(I218/MAX(1,J218)*30,0)</f>
        <v/>
      </c>
      <c r="L218" s="4" t="n"/>
      <c r="M218" s="4" t="n"/>
      <c r="N218" s="4" t="n"/>
      <c r="O218" s="4" t="n"/>
      <c r="P218" s="4" t="n"/>
      <c r="Q218" s="4" t="n"/>
      <c r="R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>
        <f>MAX(0,G219+H219-I219)</f>
        <v/>
      </c>
      <c r="K219" s="4">
        <f>IFERROR(I219/MAX(1,J219)*30,0)</f>
        <v/>
      </c>
      <c r="L219" s="4" t="n"/>
      <c r="M219" s="4" t="n"/>
      <c r="N219" s="4" t="n"/>
      <c r="O219" s="4" t="n"/>
      <c r="P219" s="4" t="n"/>
      <c r="Q219" s="4" t="n"/>
      <c r="R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>
        <f>MAX(0,G220+H220-I220)</f>
        <v/>
      </c>
      <c r="K220" s="4">
        <f>IFERROR(I220/MAX(1,J220)*30,0)</f>
        <v/>
      </c>
      <c r="L220" s="4" t="n"/>
      <c r="M220" s="4" t="n"/>
      <c r="N220" s="4" t="n"/>
      <c r="O220" s="4" t="n"/>
      <c r="P220" s="4" t="n"/>
      <c r="Q220" s="4" t="n"/>
      <c r="R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>
        <f>MAX(0,G221+H221-I221)</f>
        <v/>
      </c>
      <c r="K221" s="4">
        <f>IFERROR(I221/MAX(1,J221)*30,0)</f>
        <v/>
      </c>
      <c r="L221" s="4" t="n"/>
      <c r="M221" s="4" t="n"/>
      <c r="N221" s="4" t="n"/>
      <c r="O221" s="4" t="n"/>
      <c r="P221" s="4" t="n"/>
      <c r="Q221" s="4" t="n"/>
      <c r="R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>
        <f>MAX(0,G222+H222-I222)</f>
        <v/>
      </c>
      <c r="K222" s="4">
        <f>IFERROR(I222/MAX(1,J222)*30,0)</f>
        <v/>
      </c>
      <c r="L222" s="4" t="n"/>
      <c r="M222" s="4" t="n"/>
      <c r="N222" s="4" t="n"/>
      <c r="O222" s="4" t="n"/>
      <c r="P222" s="4" t="n"/>
      <c r="Q222" s="4" t="n"/>
      <c r="R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>
        <f>MAX(0,G223+H223-I223)</f>
        <v/>
      </c>
      <c r="K223" s="4">
        <f>IFERROR(I223/MAX(1,J223)*30,0)</f>
        <v/>
      </c>
      <c r="L223" s="4" t="n"/>
      <c r="M223" s="4" t="n"/>
      <c r="N223" s="4" t="n"/>
      <c r="O223" s="4" t="n"/>
      <c r="P223" s="4" t="n"/>
      <c r="Q223" s="4" t="n"/>
      <c r="R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>
        <f>MAX(0,G224+H224-I224)</f>
        <v/>
      </c>
      <c r="K224" s="4">
        <f>IFERROR(I224/MAX(1,J224)*30,0)</f>
        <v/>
      </c>
      <c r="L224" s="4" t="n"/>
      <c r="M224" s="4" t="n"/>
      <c r="N224" s="4" t="n"/>
      <c r="O224" s="4" t="n"/>
      <c r="P224" s="4" t="n"/>
      <c r="Q224" s="4" t="n"/>
      <c r="R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>
        <f>MAX(0,G225+H225-I225)</f>
        <v/>
      </c>
      <c r="K225" s="4">
        <f>IFERROR(I225/MAX(1,J225)*30,0)</f>
        <v/>
      </c>
      <c r="L225" s="4" t="n"/>
      <c r="M225" s="4" t="n"/>
      <c r="N225" s="4" t="n"/>
      <c r="O225" s="4" t="n"/>
      <c r="P225" s="4" t="n"/>
      <c r="Q225" s="4" t="n"/>
      <c r="R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>
        <f>MAX(0,G226+H226-I226)</f>
        <v/>
      </c>
      <c r="K226" s="4">
        <f>IFERROR(I226/MAX(1,J226)*30,0)</f>
        <v/>
      </c>
      <c r="L226" s="4" t="n"/>
      <c r="M226" s="4" t="n"/>
      <c r="N226" s="4" t="n"/>
      <c r="O226" s="4" t="n"/>
      <c r="P226" s="4" t="n"/>
      <c r="Q226" s="4" t="n"/>
      <c r="R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>
        <f>MAX(0,G227+H227-I227)</f>
        <v/>
      </c>
      <c r="K227" s="4">
        <f>IFERROR(I227/MAX(1,J227)*30,0)</f>
        <v/>
      </c>
      <c r="L227" s="4" t="n"/>
      <c r="M227" s="4" t="n"/>
      <c r="N227" s="4" t="n"/>
      <c r="O227" s="4" t="n"/>
      <c r="P227" s="4" t="n"/>
      <c r="Q227" s="4" t="n"/>
      <c r="R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>
        <f>MAX(0,G228+H228-I228)</f>
        <v/>
      </c>
      <c r="K228" s="4">
        <f>IFERROR(I228/MAX(1,J228)*30,0)</f>
        <v/>
      </c>
      <c r="L228" s="4" t="n"/>
      <c r="M228" s="4" t="n"/>
      <c r="N228" s="4" t="n"/>
      <c r="O228" s="4" t="n"/>
      <c r="P228" s="4" t="n"/>
      <c r="Q228" s="4" t="n"/>
      <c r="R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>
        <f>MAX(0,G229+H229-I229)</f>
        <v/>
      </c>
      <c r="K229" s="4">
        <f>IFERROR(I229/MAX(1,J229)*30,0)</f>
        <v/>
      </c>
      <c r="L229" s="4" t="n"/>
      <c r="M229" s="4" t="n"/>
      <c r="N229" s="4" t="n"/>
      <c r="O229" s="4" t="n"/>
      <c r="P229" s="4" t="n"/>
      <c r="Q229" s="4" t="n"/>
      <c r="R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>
        <f>MAX(0,G230+H230-I230)</f>
        <v/>
      </c>
      <c r="K230" s="4">
        <f>IFERROR(I230/MAX(1,J230)*30,0)</f>
        <v/>
      </c>
      <c r="L230" s="4" t="n"/>
      <c r="M230" s="4" t="n"/>
      <c r="N230" s="4" t="n"/>
      <c r="O230" s="4" t="n"/>
      <c r="P230" s="4" t="n"/>
      <c r="Q230" s="4" t="n"/>
      <c r="R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>
        <f>MAX(0,G231+H231-I231)</f>
        <v/>
      </c>
      <c r="K231" s="4">
        <f>IFERROR(I231/MAX(1,J231)*30,0)</f>
        <v/>
      </c>
      <c r="L231" s="4" t="n"/>
      <c r="M231" s="4" t="n"/>
      <c r="N231" s="4" t="n"/>
      <c r="O231" s="4" t="n"/>
      <c r="P231" s="4" t="n"/>
      <c r="Q231" s="4" t="n"/>
      <c r="R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>
        <f>MAX(0,G232+H232-I232)</f>
        <v/>
      </c>
      <c r="K232" s="4">
        <f>IFERROR(I232/MAX(1,J232)*30,0)</f>
        <v/>
      </c>
      <c r="L232" s="4" t="n"/>
      <c r="M232" s="4" t="n"/>
      <c r="N232" s="4" t="n"/>
      <c r="O232" s="4" t="n"/>
      <c r="P232" s="4" t="n"/>
      <c r="Q232" s="4" t="n"/>
      <c r="R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>
        <f>MAX(0,G233+H233-I233)</f>
        <v/>
      </c>
      <c r="K233" s="4">
        <f>IFERROR(I233/MAX(1,J233)*30,0)</f>
        <v/>
      </c>
      <c r="L233" s="4" t="n"/>
      <c r="M233" s="4" t="n"/>
      <c r="N233" s="4" t="n"/>
      <c r="O233" s="4" t="n"/>
      <c r="P233" s="4" t="n"/>
      <c r="Q233" s="4" t="n"/>
      <c r="R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>
        <f>MAX(0,G234+H234-I234)</f>
        <v/>
      </c>
      <c r="K234" s="4">
        <f>IFERROR(I234/MAX(1,J234)*30,0)</f>
        <v/>
      </c>
      <c r="L234" s="4" t="n"/>
      <c r="M234" s="4" t="n"/>
      <c r="N234" s="4" t="n"/>
      <c r="O234" s="4" t="n"/>
      <c r="P234" s="4" t="n"/>
      <c r="Q234" s="4" t="n"/>
      <c r="R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>
        <f>MAX(0,G235+H235-I235)</f>
        <v/>
      </c>
      <c r="K235" s="4">
        <f>IFERROR(I235/MAX(1,J235)*30,0)</f>
        <v/>
      </c>
      <c r="L235" s="4" t="n"/>
      <c r="M235" s="4" t="n"/>
      <c r="N235" s="4" t="n"/>
      <c r="O235" s="4" t="n"/>
      <c r="P235" s="4" t="n"/>
      <c r="Q235" s="4" t="n"/>
      <c r="R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>
        <f>MAX(0,G236+H236-I236)</f>
        <v/>
      </c>
      <c r="K236" s="4">
        <f>IFERROR(I236/MAX(1,J236)*30,0)</f>
        <v/>
      </c>
      <c r="L236" s="4" t="n"/>
      <c r="M236" s="4" t="n"/>
      <c r="N236" s="4" t="n"/>
      <c r="O236" s="4" t="n"/>
      <c r="P236" s="4" t="n"/>
      <c r="Q236" s="4" t="n"/>
      <c r="R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>
        <f>MAX(0,G237+H237-I237)</f>
        <v/>
      </c>
      <c r="K237" s="4">
        <f>IFERROR(I237/MAX(1,J237)*30,0)</f>
        <v/>
      </c>
      <c r="L237" s="4" t="n"/>
      <c r="M237" s="4" t="n"/>
      <c r="N237" s="4" t="n"/>
      <c r="O237" s="4" t="n"/>
      <c r="P237" s="4" t="n"/>
      <c r="Q237" s="4" t="n"/>
      <c r="R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>
        <f>MAX(0,G238+H238-I238)</f>
        <v/>
      </c>
      <c r="K238" s="4">
        <f>IFERROR(I238/MAX(1,J238)*30,0)</f>
        <v/>
      </c>
      <c r="L238" s="4" t="n"/>
      <c r="M238" s="4" t="n"/>
      <c r="N238" s="4" t="n"/>
      <c r="O238" s="4" t="n"/>
      <c r="P238" s="4" t="n"/>
      <c r="Q238" s="4" t="n"/>
      <c r="R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>
        <f>MAX(0,G239+H239-I239)</f>
        <v/>
      </c>
      <c r="K239" s="4">
        <f>IFERROR(I239/MAX(1,J239)*30,0)</f>
        <v/>
      </c>
      <c r="L239" s="4" t="n"/>
      <c r="M239" s="4" t="n"/>
      <c r="N239" s="4" t="n"/>
      <c r="O239" s="4" t="n"/>
      <c r="P239" s="4" t="n"/>
      <c r="Q239" s="4" t="n"/>
      <c r="R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>
        <f>MAX(0,G240+H240-I240)</f>
        <v/>
      </c>
      <c r="K240" s="4">
        <f>IFERROR(I240/MAX(1,J240)*30,0)</f>
        <v/>
      </c>
      <c r="L240" s="4" t="n"/>
      <c r="M240" s="4" t="n"/>
      <c r="N240" s="4" t="n"/>
      <c r="O240" s="4" t="n"/>
      <c r="P240" s="4" t="n"/>
      <c r="Q240" s="4" t="n"/>
      <c r="R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>
        <f>MAX(0,G241+H241-I241)</f>
        <v/>
      </c>
      <c r="K241" s="4">
        <f>IFERROR(I241/MAX(1,J241)*30,0)</f>
        <v/>
      </c>
      <c r="L241" s="4" t="n"/>
      <c r="M241" s="4" t="n"/>
      <c r="N241" s="4" t="n"/>
      <c r="O241" s="4" t="n"/>
      <c r="P241" s="4" t="n"/>
      <c r="Q241" s="4" t="n"/>
      <c r="R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>
        <f>MAX(0,G242+H242-I242)</f>
        <v/>
      </c>
      <c r="K242" s="4">
        <f>IFERROR(I242/MAX(1,J242)*30,0)</f>
        <v/>
      </c>
      <c r="L242" s="4" t="n"/>
      <c r="M242" s="4" t="n"/>
      <c r="N242" s="4" t="n"/>
      <c r="O242" s="4" t="n"/>
      <c r="P242" s="4" t="n"/>
      <c r="Q242" s="4" t="n"/>
      <c r="R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>
        <f>MAX(0,G243+H243-I243)</f>
        <v/>
      </c>
      <c r="K243" s="4">
        <f>IFERROR(I243/MAX(1,J243)*30,0)</f>
        <v/>
      </c>
      <c r="L243" s="4" t="n"/>
      <c r="M243" s="4" t="n"/>
      <c r="N243" s="4" t="n"/>
      <c r="O243" s="4" t="n"/>
      <c r="P243" s="4" t="n"/>
      <c r="Q243" s="4" t="n"/>
      <c r="R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>
        <f>MAX(0,G244+H244-I244)</f>
        <v/>
      </c>
      <c r="K244" s="4">
        <f>IFERROR(I244/MAX(1,J244)*30,0)</f>
        <v/>
      </c>
      <c r="L244" s="4" t="n"/>
      <c r="M244" s="4" t="n"/>
      <c r="N244" s="4" t="n"/>
      <c r="O244" s="4" t="n"/>
      <c r="P244" s="4" t="n"/>
      <c r="Q244" s="4" t="n"/>
      <c r="R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>
        <f>MAX(0,G245+H245-I245)</f>
        <v/>
      </c>
      <c r="K245" s="4">
        <f>IFERROR(I245/MAX(1,J245)*30,0)</f>
        <v/>
      </c>
      <c r="L245" s="4" t="n"/>
      <c r="M245" s="4" t="n"/>
      <c r="N245" s="4" t="n"/>
      <c r="O245" s="4" t="n"/>
      <c r="P245" s="4" t="n"/>
      <c r="Q245" s="4" t="n"/>
      <c r="R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>
        <f>MAX(0,G246+H246-I246)</f>
        <v/>
      </c>
      <c r="K246" s="4">
        <f>IFERROR(I246/MAX(1,J246)*30,0)</f>
        <v/>
      </c>
      <c r="L246" s="4" t="n"/>
      <c r="M246" s="4" t="n"/>
      <c r="N246" s="4" t="n"/>
      <c r="O246" s="4" t="n"/>
      <c r="P246" s="4" t="n"/>
      <c r="Q246" s="4" t="n"/>
      <c r="R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>
        <f>MAX(0,G247+H247-I247)</f>
        <v/>
      </c>
      <c r="K247" s="4">
        <f>IFERROR(I247/MAX(1,J247)*30,0)</f>
        <v/>
      </c>
      <c r="L247" s="4" t="n"/>
      <c r="M247" s="4" t="n"/>
      <c r="N247" s="4" t="n"/>
      <c r="O247" s="4" t="n"/>
      <c r="P247" s="4" t="n"/>
      <c r="Q247" s="4" t="n"/>
      <c r="R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>
        <f>MAX(0,G248+H248-I248)</f>
        <v/>
      </c>
      <c r="K248" s="4">
        <f>IFERROR(I248/MAX(1,J248)*30,0)</f>
        <v/>
      </c>
      <c r="L248" s="4" t="n"/>
      <c r="M248" s="4" t="n"/>
      <c r="N248" s="4" t="n"/>
      <c r="O248" s="4" t="n"/>
      <c r="P248" s="4" t="n"/>
      <c r="Q248" s="4" t="n"/>
      <c r="R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>
        <f>MAX(0,G249+H249-I249)</f>
        <v/>
      </c>
      <c r="K249" s="4">
        <f>IFERROR(I249/MAX(1,J249)*30,0)</f>
        <v/>
      </c>
      <c r="L249" s="4" t="n"/>
      <c r="M249" s="4" t="n"/>
      <c r="N249" s="4" t="n"/>
      <c r="O249" s="4" t="n"/>
      <c r="P249" s="4" t="n"/>
      <c r="Q249" s="4" t="n"/>
      <c r="R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>
        <f>MAX(0,G250+H250-I250)</f>
        <v/>
      </c>
      <c r="K250" s="4">
        <f>IFERROR(I250/MAX(1,J250)*30,0)</f>
        <v/>
      </c>
      <c r="L250" s="4" t="n"/>
      <c r="M250" s="4" t="n"/>
      <c r="N250" s="4" t="n"/>
      <c r="O250" s="4" t="n"/>
      <c r="P250" s="4" t="n"/>
      <c r="Q250" s="4" t="n"/>
      <c r="R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>
        <f>MAX(0,G251+H251-I251)</f>
        <v/>
      </c>
      <c r="K251" s="4">
        <f>IFERROR(I251/MAX(1,J251)*30,0)</f>
        <v/>
      </c>
      <c r="L251" s="4" t="n"/>
      <c r="M251" s="4" t="n"/>
      <c r="N251" s="4" t="n"/>
      <c r="O251" s="4" t="n"/>
      <c r="P251" s="4" t="n"/>
      <c r="Q251" s="4" t="n"/>
      <c r="R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>
        <f>MAX(0,G252+H252-I252)</f>
        <v/>
      </c>
      <c r="K252" s="4">
        <f>IFERROR(I252/MAX(1,J252)*30,0)</f>
        <v/>
      </c>
      <c r="L252" s="4" t="n"/>
      <c r="M252" s="4" t="n"/>
      <c r="N252" s="4" t="n"/>
      <c r="O252" s="4" t="n"/>
      <c r="P252" s="4" t="n"/>
      <c r="Q252" s="4" t="n"/>
      <c r="R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>
        <f>MAX(0,G253+H253-I253)</f>
        <v/>
      </c>
      <c r="K253" s="4">
        <f>IFERROR(I253/MAX(1,J253)*30,0)</f>
        <v/>
      </c>
      <c r="L253" s="4" t="n"/>
      <c r="M253" s="4" t="n"/>
      <c r="N253" s="4" t="n"/>
      <c r="O253" s="4" t="n"/>
      <c r="P253" s="4" t="n"/>
      <c r="Q253" s="4" t="n"/>
      <c r="R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>
        <f>MAX(0,G254+H254-I254)</f>
        <v/>
      </c>
      <c r="K254" s="4">
        <f>IFERROR(I254/MAX(1,J254)*30,0)</f>
        <v/>
      </c>
      <c r="L254" s="4" t="n"/>
      <c r="M254" s="4" t="n"/>
      <c r="N254" s="4" t="n"/>
      <c r="O254" s="4" t="n"/>
      <c r="P254" s="4" t="n"/>
      <c r="Q254" s="4" t="n"/>
      <c r="R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>
        <f>MAX(0,G255+H255-I255)</f>
        <v/>
      </c>
      <c r="K255" s="4">
        <f>IFERROR(I255/MAX(1,J255)*30,0)</f>
        <v/>
      </c>
      <c r="L255" s="4" t="n"/>
      <c r="M255" s="4" t="n"/>
      <c r="N255" s="4" t="n"/>
      <c r="O255" s="4" t="n"/>
      <c r="P255" s="4" t="n"/>
      <c r="Q255" s="4" t="n"/>
      <c r="R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>
        <f>MAX(0,G256+H256-I256)</f>
        <v/>
      </c>
      <c r="K256" s="4">
        <f>IFERROR(I256/MAX(1,J256)*30,0)</f>
        <v/>
      </c>
      <c r="L256" s="4" t="n"/>
      <c r="M256" s="4" t="n"/>
      <c r="N256" s="4" t="n"/>
      <c r="O256" s="4" t="n"/>
      <c r="P256" s="4" t="n"/>
      <c r="Q256" s="4" t="n"/>
      <c r="R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>
        <f>MAX(0,G257+H257-I257)</f>
        <v/>
      </c>
      <c r="K257" s="4">
        <f>IFERROR(I257/MAX(1,J257)*30,0)</f>
        <v/>
      </c>
      <c r="L257" s="4" t="n"/>
      <c r="M257" s="4" t="n"/>
      <c r="N257" s="4" t="n"/>
      <c r="O257" s="4" t="n"/>
      <c r="P257" s="4" t="n"/>
      <c r="Q257" s="4" t="n"/>
      <c r="R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>
        <f>MAX(0,G258+H258-I258)</f>
        <v/>
      </c>
      <c r="K258" s="4">
        <f>IFERROR(I258/MAX(1,J258)*30,0)</f>
        <v/>
      </c>
      <c r="L258" s="4" t="n"/>
      <c r="M258" s="4" t="n"/>
      <c r="N258" s="4" t="n"/>
      <c r="O258" s="4" t="n"/>
      <c r="P258" s="4" t="n"/>
      <c r="Q258" s="4" t="n"/>
      <c r="R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>
        <f>MAX(0,G259+H259-I259)</f>
        <v/>
      </c>
      <c r="K259" s="4">
        <f>IFERROR(I259/MAX(1,J259)*30,0)</f>
        <v/>
      </c>
      <c r="L259" s="4" t="n"/>
      <c r="M259" s="4" t="n"/>
      <c r="N259" s="4" t="n"/>
      <c r="O259" s="4" t="n"/>
      <c r="P259" s="4" t="n"/>
      <c r="Q259" s="4" t="n"/>
      <c r="R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>
        <f>MAX(0,G260+H260-I260)</f>
        <v/>
      </c>
      <c r="K260" s="4">
        <f>IFERROR(I260/MAX(1,J260)*30,0)</f>
        <v/>
      </c>
      <c r="L260" s="4" t="n"/>
      <c r="M260" s="4" t="n"/>
      <c r="N260" s="4" t="n"/>
      <c r="O260" s="4" t="n"/>
      <c r="P260" s="4" t="n"/>
      <c r="Q260" s="4" t="n"/>
      <c r="R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>
        <f>MAX(0,G261+H261-I261)</f>
        <v/>
      </c>
      <c r="K261" s="4">
        <f>IFERROR(I261/MAX(1,J261)*30,0)</f>
        <v/>
      </c>
      <c r="L261" s="4" t="n"/>
      <c r="M261" s="4" t="n"/>
      <c r="N261" s="4" t="n"/>
      <c r="O261" s="4" t="n"/>
      <c r="P261" s="4" t="n"/>
      <c r="Q261" s="4" t="n"/>
      <c r="R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>
        <f>MAX(0,G262+H262-I262)</f>
        <v/>
      </c>
      <c r="K262" s="4">
        <f>IFERROR(I262/MAX(1,J262)*30,0)</f>
        <v/>
      </c>
      <c r="L262" s="4" t="n"/>
      <c r="M262" s="4" t="n"/>
      <c r="N262" s="4" t="n"/>
      <c r="O262" s="4" t="n"/>
      <c r="P262" s="4" t="n"/>
      <c r="Q262" s="4" t="n"/>
      <c r="R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>
        <f>MAX(0,G263+H263-I263)</f>
        <v/>
      </c>
      <c r="K263" s="4">
        <f>IFERROR(I263/MAX(1,J263)*30,0)</f>
        <v/>
      </c>
      <c r="L263" s="4" t="n"/>
      <c r="M263" s="4" t="n"/>
      <c r="N263" s="4" t="n"/>
      <c r="O263" s="4" t="n"/>
      <c r="P263" s="4" t="n"/>
      <c r="Q263" s="4" t="n"/>
      <c r="R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>
        <f>MAX(0,G264+H264-I264)</f>
        <v/>
      </c>
      <c r="K264" s="4">
        <f>IFERROR(I264/MAX(1,J264)*30,0)</f>
        <v/>
      </c>
      <c r="L264" s="4" t="n"/>
      <c r="M264" s="4" t="n"/>
      <c r="N264" s="4" t="n"/>
      <c r="O264" s="4" t="n"/>
      <c r="P264" s="4" t="n"/>
      <c r="Q264" s="4" t="n"/>
      <c r="R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>
        <f>MAX(0,G265+H265-I265)</f>
        <v/>
      </c>
      <c r="K265" s="4">
        <f>IFERROR(I265/MAX(1,J265)*30,0)</f>
        <v/>
      </c>
      <c r="L265" s="4" t="n"/>
      <c r="M265" s="4" t="n"/>
      <c r="N265" s="4" t="n"/>
      <c r="O265" s="4" t="n"/>
      <c r="P265" s="4" t="n"/>
      <c r="Q265" s="4" t="n"/>
      <c r="R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>
        <f>MAX(0,G266+H266-I266)</f>
        <v/>
      </c>
      <c r="K266" s="4">
        <f>IFERROR(I266/MAX(1,J266)*30,0)</f>
        <v/>
      </c>
      <c r="L266" s="4" t="n"/>
      <c r="M266" s="4" t="n"/>
      <c r="N266" s="4" t="n"/>
      <c r="O266" s="4" t="n"/>
      <c r="P266" s="4" t="n"/>
      <c r="Q266" s="4" t="n"/>
      <c r="R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>
        <f>MAX(0,G267+H267-I267)</f>
        <v/>
      </c>
      <c r="K267" s="4">
        <f>IFERROR(I267/MAX(1,J267)*30,0)</f>
        <v/>
      </c>
      <c r="L267" s="4" t="n"/>
      <c r="M267" s="4" t="n"/>
      <c r="N267" s="4" t="n"/>
      <c r="O267" s="4" t="n"/>
      <c r="P267" s="4" t="n"/>
      <c r="Q267" s="4" t="n"/>
      <c r="R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>
        <f>MAX(0,G268+H268-I268)</f>
        <v/>
      </c>
      <c r="K268" s="4">
        <f>IFERROR(I268/MAX(1,J268)*30,0)</f>
        <v/>
      </c>
      <c r="L268" s="4" t="n"/>
      <c r="M268" s="4" t="n"/>
      <c r="N268" s="4" t="n"/>
      <c r="O268" s="4" t="n"/>
      <c r="P268" s="4" t="n"/>
      <c r="Q268" s="4" t="n"/>
      <c r="R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>
        <f>MAX(0,G269+H269-I269)</f>
        <v/>
      </c>
      <c r="K269" s="4">
        <f>IFERROR(I269/MAX(1,J269)*30,0)</f>
        <v/>
      </c>
      <c r="L269" s="4" t="n"/>
      <c r="M269" s="4" t="n"/>
      <c r="N269" s="4" t="n"/>
      <c r="O269" s="4" t="n"/>
      <c r="P269" s="4" t="n"/>
      <c r="Q269" s="4" t="n"/>
      <c r="R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>
        <f>MAX(0,G270+H270-I270)</f>
        <v/>
      </c>
      <c r="K270" s="4">
        <f>IFERROR(I270/MAX(1,J270)*30,0)</f>
        <v/>
      </c>
      <c r="L270" s="4" t="n"/>
      <c r="M270" s="4" t="n"/>
      <c r="N270" s="4" t="n"/>
      <c r="O270" s="4" t="n"/>
      <c r="P270" s="4" t="n"/>
      <c r="Q270" s="4" t="n"/>
      <c r="R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>
        <f>MAX(0,G271+H271-I271)</f>
        <v/>
      </c>
      <c r="K271" s="4">
        <f>IFERROR(I271/MAX(1,J271)*30,0)</f>
        <v/>
      </c>
      <c r="L271" s="4" t="n"/>
      <c r="M271" s="4" t="n"/>
      <c r="N271" s="4" t="n"/>
      <c r="O271" s="4" t="n"/>
      <c r="P271" s="4" t="n"/>
      <c r="Q271" s="4" t="n"/>
      <c r="R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>
        <f>MAX(0,G272+H272-I272)</f>
        <v/>
      </c>
      <c r="K272" s="4">
        <f>IFERROR(I272/MAX(1,J272)*30,0)</f>
        <v/>
      </c>
      <c r="L272" s="4" t="n"/>
      <c r="M272" s="4" t="n"/>
      <c r="N272" s="4" t="n"/>
      <c r="O272" s="4" t="n"/>
      <c r="P272" s="4" t="n"/>
      <c r="Q272" s="4" t="n"/>
      <c r="R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>
        <f>MAX(0,G273+H273-I273)</f>
        <v/>
      </c>
      <c r="K273" s="4">
        <f>IFERROR(I273/MAX(1,J273)*30,0)</f>
        <v/>
      </c>
      <c r="L273" s="4" t="n"/>
      <c r="M273" s="4" t="n"/>
      <c r="N273" s="4" t="n"/>
      <c r="O273" s="4" t="n"/>
      <c r="P273" s="4" t="n"/>
      <c r="Q273" s="4" t="n"/>
      <c r="R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>
        <f>MAX(0,G274+H274-I274)</f>
        <v/>
      </c>
      <c r="K274" s="4">
        <f>IFERROR(I274/MAX(1,J274)*30,0)</f>
        <v/>
      </c>
      <c r="L274" s="4" t="n"/>
      <c r="M274" s="4" t="n"/>
      <c r="N274" s="4" t="n"/>
      <c r="O274" s="4" t="n"/>
      <c r="P274" s="4" t="n"/>
      <c r="Q274" s="4" t="n"/>
      <c r="R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>
        <f>MAX(0,G275+H275-I275)</f>
        <v/>
      </c>
      <c r="K275" s="4">
        <f>IFERROR(I275/MAX(1,J275)*30,0)</f>
        <v/>
      </c>
      <c r="L275" s="4" t="n"/>
      <c r="M275" s="4" t="n"/>
      <c r="N275" s="4" t="n"/>
      <c r="O275" s="4" t="n"/>
      <c r="P275" s="4" t="n"/>
      <c r="Q275" s="4" t="n"/>
      <c r="R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>
        <f>MAX(0,G276+H276-I276)</f>
        <v/>
      </c>
      <c r="K276" s="4">
        <f>IFERROR(I276/MAX(1,J276)*30,0)</f>
        <v/>
      </c>
      <c r="L276" s="4" t="n"/>
      <c r="M276" s="4" t="n"/>
      <c r="N276" s="4" t="n"/>
      <c r="O276" s="4" t="n"/>
      <c r="P276" s="4" t="n"/>
      <c r="Q276" s="4" t="n"/>
      <c r="R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>
        <f>MAX(0,G277+H277-I277)</f>
        <v/>
      </c>
      <c r="K277" s="4">
        <f>IFERROR(I277/MAX(1,J277)*30,0)</f>
        <v/>
      </c>
      <c r="L277" s="4" t="n"/>
      <c r="M277" s="4" t="n"/>
      <c r="N277" s="4" t="n"/>
      <c r="O277" s="4" t="n"/>
      <c r="P277" s="4" t="n"/>
      <c r="Q277" s="4" t="n"/>
      <c r="R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>
        <f>MAX(0,G278+H278-I278)</f>
        <v/>
      </c>
      <c r="K278" s="4">
        <f>IFERROR(I278/MAX(1,J278)*30,0)</f>
        <v/>
      </c>
      <c r="L278" s="4" t="n"/>
      <c r="M278" s="4" t="n"/>
      <c r="N278" s="4" t="n"/>
      <c r="O278" s="4" t="n"/>
      <c r="P278" s="4" t="n"/>
      <c r="Q278" s="4" t="n"/>
      <c r="R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>
        <f>MAX(0,G279+H279-I279)</f>
        <v/>
      </c>
      <c r="K279" s="4">
        <f>IFERROR(I279/MAX(1,J279)*30,0)</f>
        <v/>
      </c>
      <c r="L279" s="4" t="n"/>
      <c r="M279" s="4" t="n"/>
      <c r="N279" s="4" t="n"/>
      <c r="O279" s="4" t="n"/>
      <c r="P279" s="4" t="n"/>
      <c r="Q279" s="4" t="n"/>
      <c r="R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>
        <f>MAX(0,G280+H280-I280)</f>
        <v/>
      </c>
      <c r="K280" s="4">
        <f>IFERROR(I280/MAX(1,J280)*30,0)</f>
        <v/>
      </c>
      <c r="L280" s="4" t="n"/>
      <c r="M280" s="4" t="n"/>
      <c r="N280" s="4" t="n"/>
      <c r="O280" s="4" t="n"/>
      <c r="P280" s="4" t="n"/>
      <c r="Q280" s="4" t="n"/>
      <c r="R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>
        <f>MAX(0,G281+H281-I281)</f>
        <v/>
      </c>
      <c r="K281" s="4">
        <f>IFERROR(I281/MAX(1,J281)*30,0)</f>
        <v/>
      </c>
      <c r="L281" s="4" t="n"/>
      <c r="M281" s="4" t="n"/>
      <c r="N281" s="4" t="n"/>
      <c r="O281" s="4" t="n"/>
      <c r="P281" s="4" t="n"/>
      <c r="Q281" s="4" t="n"/>
      <c r="R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>
        <f>MAX(0,G282+H282-I282)</f>
        <v/>
      </c>
      <c r="K282" s="4">
        <f>IFERROR(I282/MAX(1,J282)*30,0)</f>
        <v/>
      </c>
      <c r="L282" s="4" t="n"/>
      <c r="M282" s="4" t="n"/>
      <c r="N282" s="4" t="n"/>
      <c r="O282" s="4" t="n"/>
      <c r="P282" s="4" t="n"/>
      <c r="Q282" s="4" t="n"/>
      <c r="R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>
        <f>MAX(0,G283+H283-I283)</f>
        <v/>
      </c>
      <c r="K283" s="4">
        <f>IFERROR(I283/MAX(1,J283)*30,0)</f>
        <v/>
      </c>
      <c r="L283" s="4" t="n"/>
      <c r="M283" s="4" t="n"/>
      <c r="N283" s="4" t="n"/>
      <c r="O283" s="4" t="n"/>
      <c r="P283" s="4" t="n"/>
      <c r="Q283" s="4" t="n"/>
      <c r="R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>
        <f>MAX(0,G284+H284-I284)</f>
        <v/>
      </c>
      <c r="K284" s="4">
        <f>IFERROR(I284/MAX(1,J284)*30,0)</f>
        <v/>
      </c>
      <c r="L284" s="4" t="n"/>
      <c r="M284" s="4" t="n"/>
      <c r="N284" s="4" t="n"/>
      <c r="O284" s="4" t="n"/>
      <c r="P284" s="4" t="n"/>
      <c r="Q284" s="4" t="n"/>
      <c r="R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>
        <f>MAX(0,G285+H285-I285)</f>
        <v/>
      </c>
      <c r="K285" s="4">
        <f>IFERROR(I285/MAX(1,J285)*30,0)</f>
        <v/>
      </c>
      <c r="L285" s="4" t="n"/>
      <c r="M285" s="4" t="n"/>
      <c r="N285" s="4" t="n"/>
      <c r="O285" s="4" t="n"/>
      <c r="P285" s="4" t="n"/>
      <c r="Q285" s="4" t="n"/>
      <c r="R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>
        <f>MAX(0,G286+H286-I286)</f>
        <v/>
      </c>
      <c r="K286" s="4">
        <f>IFERROR(I286/MAX(1,J286)*30,0)</f>
        <v/>
      </c>
      <c r="L286" s="4" t="n"/>
      <c r="M286" s="4" t="n"/>
      <c r="N286" s="4" t="n"/>
      <c r="O286" s="4" t="n"/>
      <c r="P286" s="4" t="n"/>
      <c r="Q286" s="4" t="n"/>
      <c r="R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>
        <f>MAX(0,G287+H287-I287)</f>
        <v/>
      </c>
      <c r="K287" s="4">
        <f>IFERROR(I287/MAX(1,J287)*30,0)</f>
        <v/>
      </c>
      <c r="L287" s="4" t="n"/>
      <c r="M287" s="4" t="n"/>
      <c r="N287" s="4" t="n"/>
      <c r="O287" s="4" t="n"/>
      <c r="P287" s="4" t="n"/>
      <c r="Q287" s="4" t="n"/>
      <c r="R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>
        <f>MAX(0,G288+H288-I288)</f>
        <v/>
      </c>
      <c r="K288" s="4">
        <f>IFERROR(I288/MAX(1,J288)*30,0)</f>
        <v/>
      </c>
      <c r="L288" s="4" t="n"/>
      <c r="M288" s="4" t="n"/>
      <c r="N288" s="4" t="n"/>
      <c r="O288" s="4" t="n"/>
      <c r="P288" s="4" t="n"/>
      <c r="Q288" s="4" t="n"/>
      <c r="R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>
        <f>MAX(0,G289+H289-I289)</f>
        <v/>
      </c>
      <c r="K289" s="4">
        <f>IFERROR(I289/MAX(1,J289)*30,0)</f>
        <v/>
      </c>
      <c r="L289" s="4" t="n"/>
      <c r="M289" s="4" t="n"/>
      <c r="N289" s="4" t="n"/>
      <c r="O289" s="4" t="n"/>
      <c r="P289" s="4" t="n"/>
      <c r="Q289" s="4" t="n"/>
      <c r="R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>
        <f>MAX(0,G290+H290-I290)</f>
        <v/>
      </c>
      <c r="K290" s="4">
        <f>IFERROR(I290/MAX(1,J290)*30,0)</f>
        <v/>
      </c>
      <c r="L290" s="4" t="n"/>
      <c r="M290" s="4" t="n"/>
      <c r="N290" s="4" t="n"/>
      <c r="O290" s="4" t="n"/>
      <c r="P290" s="4" t="n"/>
      <c r="Q290" s="4" t="n"/>
      <c r="R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>
        <f>MAX(0,G291+H291-I291)</f>
        <v/>
      </c>
      <c r="K291" s="4">
        <f>IFERROR(I291/MAX(1,J291)*30,0)</f>
        <v/>
      </c>
      <c r="L291" s="4" t="n"/>
      <c r="M291" s="4" t="n"/>
      <c r="N291" s="4" t="n"/>
      <c r="O291" s="4" t="n"/>
      <c r="P291" s="4" t="n"/>
      <c r="Q291" s="4" t="n"/>
      <c r="R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>
        <f>MAX(0,G292+H292-I292)</f>
        <v/>
      </c>
      <c r="K292" s="4">
        <f>IFERROR(I292/MAX(1,J292)*30,0)</f>
        <v/>
      </c>
      <c r="L292" s="4" t="n"/>
      <c r="M292" s="4" t="n"/>
      <c r="N292" s="4" t="n"/>
      <c r="O292" s="4" t="n"/>
      <c r="P292" s="4" t="n"/>
      <c r="Q292" s="4" t="n"/>
      <c r="R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>
        <f>MAX(0,G293+H293-I293)</f>
        <v/>
      </c>
      <c r="K293" s="4">
        <f>IFERROR(I293/MAX(1,J293)*30,0)</f>
        <v/>
      </c>
      <c r="L293" s="4" t="n"/>
      <c r="M293" s="4" t="n"/>
      <c r="N293" s="4" t="n"/>
      <c r="O293" s="4" t="n"/>
      <c r="P293" s="4" t="n"/>
      <c r="Q293" s="4" t="n"/>
      <c r="R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>
        <f>MAX(0,G294+H294-I294)</f>
        <v/>
      </c>
      <c r="K294" s="4">
        <f>IFERROR(I294/MAX(1,J294)*30,0)</f>
        <v/>
      </c>
      <c r="L294" s="4" t="n"/>
      <c r="M294" s="4" t="n"/>
      <c r="N294" s="4" t="n"/>
      <c r="O294" s="4" t="n"/>
      <c r="P294" s="4" t="n"/>
      <c r="Q294" s="4" t="n"/>
      <c r="R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>
        <f>MAX(0,G295+H295-I295)</f>
        <v/>
      </c>
      <c r="K295" s="4">
        <f>IFERROR(I295/MAX(1,J295)*30,0)</f>
        <v/>
      </c>
      <c r="L295" s="4" t="n"/>
      <c r="M295" s="4" t="n"/>
      <c r="N295" s="4" t="n"/>
      <c r="O295" s="4" t="n"/>
      <c r="P295" s="4" t="n"/>
      <c r="Q295" s="4" t="n"/>
      <c r="R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>
        <f>MAX(0,G296+H296-I296)</f>
        <v/>
      </c>
      <c r="K296" s="4">
        <f>IFERROR(I296/MAX(1,J296)*30,0)</f>
        <v/>
      </c>
      <c r="L296" s="4" t="n"/>
      <c r="M296" s="4" t="n"/>
      <c r="N296" s="4" t="n"/>
      <c r="O296" s="4" t="n"/>
      <c r="P296" s="4" t="n"/>
      <c r="Q296" s="4" t="n"/>
      <c r="R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>
        <f>MAX(0,G297+H297-I297)</f>
        <v/>
      </c>
      <c r="K297" s="4">
        <f>IFERROR(I297/MAX(1,J297)*30,0)</f>
        <v/>
      </c>
      <c r="L297" s="4" t="n"/>
      <c r="M297" s="4" t="n"/>
      <c r="N297" s="4" t="n"/>
      <c r="O297" s="4" t="n"/>
      <c r="P297" s="4" t="n"/>
      <c r="Q297" s="4" t="n"/>
      <c r="R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>
        <f>MAX(0,G298+H298-I298)</f>
        <v/>
      </c>
      <c r="K298" s="4">
        <f>IFERROR(I298/MAX(1,J298)*30,0)</f>
        <v/>
      </c>
      <c r="L298" s="4" t="n"/>
      <c r="M298" s="4" t="n"/>
      <c r="N298" s="4" t="n"/>
      <c r="O298" s="4" t="n"/>
      <c r="P298" s="4" t="n"/>
      <c r="Q298" s="4" t="n"/>
      <c r="R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>
        <f>MAX(0,G299+H299-I299)</f>
        <v/>
      </c>
      <c r="K299" s="4">
        <f>IFERROR(I299/MAX(1,J299)*30,0)</f>
        <v/>
      </c>
      <c r="L299" s="4" t="n"/>
      <c r="M299" s="4" t="n"/>
      <c r="N299" s="4" t="n"/>
      <c r="O299" s="4" t="n"/>
      <c r="P299" s="4" t="n"/>
      <c r="Q299" s="4" t="n"/>
      <c r="R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>
        <f>MAX(0,G300+H300-I300)</f>
        <v/>
      </c>
      <c r="K300" s="4">
        <f>IFERROR(I300/MAX(1,J300)*30,0)</f>
        <v/>
      </c>
      <c r="L300" s="4" t="n"/>
      <c r="M300" s="4" t="n"/>
      <c r="N300" s="4" t="n"/>
      <c r="O300" s="4" t="n"/>
      <c r="P300" s="4" t="n"/>
      <c r="Q300" s="4" t="n"/>
      <c r="R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>
        <f>MAX(0,G301+H301-I301)</f>
        <v/>
      </c>
      <c r="K301" s="4">
        <f>IFERROR(I301/MAX(1,J301)*30,0)</f>
        <v/>
      </c>
      <c r="L301" s="4" t="n"/>
      <c r="M301" s="4" t="n"/>
      <c r="N301" s="4" t="n"/>
      <c r="O301" s="4" t="n"/>
      <c r="P301" s="4" t="n"/>
      <c r="Q301" s="4" t="n"/>
      <c r="R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>
        <f>MAX(0,G302+H302-I302)</f>
        <v/>
      </c>
      <c r="K302" s="4">
        <f>IFERROR(I302/MAX(1,J302)*30,0)</f>
        <v/>
      </c>
      <c r="L302" s="4" t="n"/>
      <c r="M302" s="4" t="n"/>
      <c r="N302" s="4" t="n"/>
      <c r="O302" s="4" t="n"/>
      <c r="P302" s="4" t="n"/>
      <c r="Q302" s="4" t="n"/>
      <c r="R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>
        <f>MAX(0,G303+H303-I303)</f>
        <v/>
      </c>
      <c r="K303" s="4">
        <f>IFERROR(I303/MAX(1,J303)*30,0)</f>
        <v/>
      </c>
      <c r="L303" s="4" t="n"/>
      <c r="M303" s="4" t="n"/>
      <c r="N303" s="4" t="n"/>
      <c r="O303" s="4" t="n"/>
      <c r="P303" s="4" t="n"/>
      <c r="Q303" s="4" t="n"/>
      <c r="R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>
        <f>MAX(0,G304+H304-I304)</f>
        <v/>
      </c>
      <c r="K304" s="4">
        <f>IFERROR(I304/MAX(1,J304)*30,0)</f>
        <v/>
      </c>
      <c r="L304" s="4" t="n"/>
      <c r="M304" s="4" t="n"/>
      <c r="N304" s="4" t="n"/>
      <c r="O304" s="4" t="n"/>
      <c r="P304" s="4" t="n"/>
      <c r="Q304" s="4" t="n"/>
      <c r="R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>
        <f>MAX(0,G305+H305-I305)</f>
        <v/>
      </c>
      <c r="K305" s="4">
        <f>IFERROR(I305/MAX(1,J305)*30,0)</f>
        <v/>
      </c>
      <c r="L305" s="4" t="n"/>
      <c r="M305" s="4" t="n"/>
      <c r="N305" s="4" t="n"/>
      <c r="O305" s="4" t="n"/>
      <c r="P305" s="4" t="n"/>
      <c r="Q305" s="4" t="n"/>
      <c r="R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>
        <f>MAX(0,G306+H306-I306)</f>
        <v/>
      </c>
      <c r="K306" s="4">
        <f>IFERROR(I306/MAX(1,J306)*30,0)</f>
        <v/>
      </c>
      <c r="L306" s="4" t="n"/>
      <c r="M306" s="4" t="n"/>
      <c r="N306" s="4" t="n"/>
      <c r="O306" s="4" t="n"/>
      <c r="P306" s="4" t="n"/>
      <c r="Q306" s="4" t="n"/>
      <c r="R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>
        <f>MAX(0,G307+H307-I307)</f>
        <v/>
      </c>
      <c r="K307" s="4">
        <f>IFERROR(I307/MAX(1,J307)*30,0)</f>
        <v/>
      </c>
      <c r="L307" s="4" t="n"/>
      <c r="M307" s="4" t="n"/>
      <c r="N307" s="4" t="n"/>
      <c r="O307" s="4" t="n"/>
      <c r="P307" s="4" t="n"/>
      <c r="Q307" s="4" t="n"/>
      <c r="R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>
        <f>MAX(0,G308+H308-I308)</f>
        <v/>
      </c>
      <c r="K308" s="4">
        <f>IFERROR(I308/MAX(1,J308)*30,0)</f>
        <v/>
      </c>
      <c r="L308" s="4" t="n"/>
      <c r="M308" s="4" t="n"/>
      <c r="N308" s="4" t="n"/>
      <c r="O308" s="4" t="n"/>
      <c r="P308" s="4" t="n"/>
      <c r="Q308" s="4" t="n"/>
      <c r="R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>
        <f>MAX(0,G309+H309-I309)</f>
        <v/>
      </c>
      <c r="K309" s="4">
        <f>IFERROR(I309/MAX(1,J309)*30,0)</f>
        <v/>
      </c>
      <c r="L309" s="4" t="n"/>
      <c r="M309" s="4" t="n"/>
      <c r="N309" s="4" t="n"/>
      <c r="O309" s="4" t="n"/>
      <c r="P309" s="4" t="n"/>
      <c r="Q309" s="4" t="n"/>
      <c r="R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>
        <f>MAX(0,G310+H310-I310)</f>
        <v/>
      </c>
      <c r="K310" s="4">
        <f>IFERROR(I310/MAX(1,J310)*30,0)</f>
        <v/>
      </c>
      <c r="L310" s="4" t="n"/>
      <c r="M310" s="4" t="n"/>
      <c r="N310" s="4" t="n"/>
      <c r="O310" s="4" t="n"/>
      <c r="P310" s="4" t="n"/>
      <c r="Q310" s="4" t="n"/>
      <c r="R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>
        <f>MAX(0,G311+H311-I311)</f>
        <v/>
      </c>
      <c r="K311" s="4">
        <f>IFERROR(I311/MAX(1,J311)*30,0)</f>
        <v/>
      </c>
      <c r="L311" s="4" t="n"/>
      <c r="M311" s="4" t="n"/>
      <c r="N311" s="4" t="n"/>
      <c r="O311" s="4" t="n"/>
      <c r="P311" s="4" t="n"/>
      <c r="Q311" s="4" t="n"/>
      <c r="R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>
        <f>MAX(0,G312+H312-I312)</f>
        <v/>
      </c>
      <c r="K312" s="4">
        <f>IFERROR(I312/MAX(1,J312)*30,0)</f>
        <v/>
      </c>
      <c r="L312" s="4" t="n"/>
      <c r="M312" s="4" t="n"/>
      <c r="N312" s="4" t="n"/>
      <c r="O312" s="4" t="n"/>
      <c r="P312" s="4" t="n"/>
      <c r="Q312" s="4" t="n"/>
      <c r="R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>
        <f>MAX(0,G313+H313-I313)</f>
        <v/>
      </c>
      <c r="K313" s="4">
        <f>IFERROR(I313/MAX(1,J313)*30,0)</f>
        <v/>
      </c>
      <c r="L313" s="4" t="n"/>
      <c r="M313" s="4" t="n"/>
      <c r="N313" s="4" t="n"/>
      <c r="O313" s="4" t="n"/>
      <c r="P313" s="4" t="n"/>
      <c r="Q313" s="4" t="n"/>
      <c r="R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>
        <f>MAX(0,G314+H314-I314)</f>
        <v/>
      </c>
      <c r="K314" s="4">
        <f>IFERROR(I314/MAX(1,J314)*30,0)</f>
        <v/>
      </c>
      <c r="L314" s="4" t="n"/>
      <c r="M314" s="4" t="n"/>
      <c r="N314" s="4" t="n"/>
      <c r="O314" s="4" t="n"/>
      <c r="P314" s="4" t="n"/>
      <c r="Q314" s="4" t="n"/>
      <c r="R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>
        <f>MAX(0,G315+H315-I315)</f>
        <v/>
      </c>
      <c r="K315" s="4">
        <f>IFERROR(I315/MAX(1,J315)*30,0)</f>
        <v/>
      </c>
      <c r="L315" s="4" t="n"/>
      <c r="M315" s="4" t="n"/>
      <c r="N315" s="4" t="n"/>
      <c r="O315" s="4" t="n"/>
      <c r="P315" s="4" t="n"/>
      <c r="Q315" s="4" t="n"/>
      <c r="R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>
        <f>MAX(0,G316+H316-I316)</f>
        <v/>
      </c>
      <c r="K316" s="4">
        <f>IFERROR(I316/MAX(1,J316)*30,0)</f>
        <v/>
      </c>
      <c r="L316" s="4" t="n"/>
      <c r="M316" s="4" t="n"/>
      <c r="N316" s="4" t="n"/>
      <c r="O316" s="4" t="n"/>
      <c r="P316" s="4" t="n"/>
      <c r="Q316" s="4" t="n"/>
      <c r="R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>
        <f>MAX(0,G317+H317-I317)</f>
        <v/>
      </c>
      <c r="K317" s="4">
        <f>IFERROR(I317/MAX(1,J317)*30,0)</f>
        <v/>
      </c>
      <c r="L317" s="4" t="n"/>
      <c r="M317" s="4" t="n"/>
      <c r="N317" s="4" t="n"/>
      <c r="O317" s="4" t="n"/>
      <c r="P317" s="4" t="n"/>
      <c r="Q317" s="4" t="n"/>
      <c r="R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>
        <f>MAX(0,G318+H318-I318)</f>
        <v/>
      </c>
      <c r="K318" s="4">
        <f>IFERROR(I318/MAX(1,J318)*30,0)</f>
        <v/>
      </c>
      <c r="L318" s="4" t="n"/>
      <c r="M318" s="4" t="n"/>
      <c r="N318" s="4" t="n"/>
      <c r="O318" s="4" t="n"/>
      <c r="P318" s="4" t="n"/>
      <c r="Q318" s="4" t="n"/>
      <c r="R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>
        <f>MAX(0,G319+H319-I319)</f>
        <v/>
      </c>
      <c r="K319" s="4">
        <f>IFERROR(I319/MAX(1,J319)*30,0)</f>
        <v/>
      </c>
      <c r="L319" s="4" t="n"/>
      <c r="M319" s="4" t="n"/>
      <c r="N319" s="4" t="n"/>
      <c r="O319" s="4" t="n"/>
      <c r="P319" s="4" t="n"/>
      <c r="Q319" s="4" t="n"/>
      <c r="R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>
        <f>MAX(0,G320+H320-I320)</f>
        <v/>
      </c>
      <c r="K320" s="4">
        <f>IFERROR(I320/MAX(1,J320)*30,0)</f>
        <v/>
      </c>
      <c r="L320" s="4" t="n"/>
      <c r="M320" s="4" t="n"/>
      <c r="N320" s="4" t="n"/>
      <c r="O320" s="4" t="n"/>
      <c r="P320" s="4" t="n"/>
      <c r="Q320" s="4" t="n"/>
      <c r="R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>
        <f>MAX(0,G321+H321-I321)</f>
        <v/>
      </c>
      <c r="K321" s="4">
        <f>IFERROR(I321/MAX(1,J321)*30,0)</f>
        <v/>
      </c>
      <c r="L321" s="4" t="n"/>
      <c r="M321" s="4" t="n"/>
      <c r="N321" s="4" t="n"/>
      <c r="O321" s="4" t="n"/>
      <c r="P321" s="4" t="n"/>
      <c r="Q321" s="4" t="n"/>
      <c r="R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>
        <f>MAX(0,G322+H322-I322)</f>
        <v/>
      </c>
      <c r="K322" s="4">
        <f>IFERROR(I322/MAX(1,J322)*30,0)</f>
        <v/>
      </c>
      <c r="L322" s="4" t="n"/>
      <c r="M322" s="4" t="n"/>
      <c r="N322" s="4" t="n"/>
      <c r="O322" s="4" t="n"/>
      <c r="P322" s="4" t="n"/>
      <c r="Q322" s="4" t="n"/>
      <c r="R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>
        <f>MAX(0,G323+H323-I323)</f>
        <v/>
      </c>
      <c r="K323" s="4">
        <f>IFERROR(I323/MAX(1,J323)*30,0)</f>
        <v/>
      </c>
      <c r="L323" s="4" t="n"/>
      <c r="M323" s="4" t="n"/>
      <c r="N323" s="4" t="n"/>
      <c r="O323" s="4" t="n"/>
      <c r="P323" s="4" t="n"/>
      <c r="Q323" s="4" t="n"/>
      <c r="R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>
        <f>MAX(0,G324+H324-I324)</f>
        <v/>
      </c>
      <c r="K324" s="4">
        <f>IFERROR(I324/MAX(1,J324)*30,0)</f>
        <v/>
      </c>
      <c r="L324" s="4" t="n"/>
      <c r="M324" s="4" t="n"/>
      <c r="N324" s="4" t="n"/>
      <c r="O324" s="4" t="n"/>
      <c r="P324" s="4" t="n"/>
      <c r="Q324" s="4" t="n"/>
      <c r="R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>
        <f>MAX(0,G325+H325-I325)</f>
        <v/>
      </c>
      <c r="K325" s="4">
        <f>IFERROR(I325/MAX(1,J325)*30,0)</f>
        <v/>
      </c>
      <c r="L325" s="4" t="n"/>
      <c r="M325" s="4" t="n"/>
      <c r="N325" s="4" t="n"/>
      <c r="O325" s="4" t="n"/>
      <c r="P325" s="4" t="n"/>
      <c r="Q325" s="4" t="n"/>
      <c r="R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>
        <f>MAX(0,G326+H326-I326)</f>
        <v/>
      </c>
      <c r="K326" s="4">
        <f>IFERROR(I326/MAX(1,J326)*30,0)</f>
        <v/>
      </c>
      <c r="L326" s="4" t="n"/>
      <c r="M326" s="4" t="n"/>
      <c r="N326" s="4" t="n"/>
      <c r="O326" s="4" t="n"/>
      <c r="P326" s="4" t="n"/>
      <c r="Q326" s="4" t="n"/>
      <c r="R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>
        <f>MAX(0,G327+H327-I327)</f>
        <v/>
      </c>
      <c r="K327" s="4">
        <f>IFERROR(I327/MAX(1,J327)*30,0)</f>
        <v/>
      </c>
      <c r="L327" s="4" t="n"/>
      <c r="M327" s="4" t="n"/>
      <c r="N327" s="4" t="n"/>
      <c r="O327" s="4" t="n"/>
      <c r="P327" s="4" t="n"/>
      <c r="Q327" s="4" t="n"/>
      <c r="R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>
        <f>MAX(0,G328+H328-I328)</f>
        <v/>
      </c>
      <c r="K328" s="4">
        <f>IFERROR(I328/MAX(1,J328)*30,0)</f>
        <v/>
      </c>
      <c r="L328" s="4" t="n"/>
      <c r="M328" s="4" t="n"/>
      <c r="N328" s="4" t="n"/>
      <c r="O328" s="4" t="n"/>
      <c r="P328" s="4" t="n"/>
      <c r="Q328" s="4" t="n"/>
      <c r="R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>
        <f>MAX(0,G329+H329-I329)</f>
        <v/>
      </c>
      <c r="K329" s="4">
        <f>IFERROR(I329/MAX(1,J329)*30,0)</f>
        <v/>
      </c>
      <c r="L329" s="4" t="n"/>
      <c r="M329" s="4" t="n"/>
      <c r="N329" s="4" t="n"/>
      <c r="O329" s="4" t="n"/>
      <c r="P329" s="4" t="n"/>
      <c r="Q329" s="4" t="n"/>
      <c r="R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>
        <f>MAX(0,G330+H330-I330)</f>
        <v/>
      </c>
      <c r="K330" s="4">
        <f>IFERROR(I330/MAX(1,J330)*30,0)</f>
        <v/>
      </c>
      <c r="L330" s="4" t="n"/>
      <c r="M330" s="4" t="n"/>
      <c r="N330" s="4" t="n"/>
      <c r="O330" s="4" t="n"/>
      <c r="P330" s="4" t="n"/>
      <c r="Q330" s="4" t="n"/>
      <c r="R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>
        <f>MAX(0,G331+H331-I331)</f>
        <v/>
      </c>
      <c r="K331" s="4">
        <f>IFERROR(I331/MAX(1,J331)*30,0)</f>
        <v/>
      </c>
      <c r="L331" s="4" t="n"/>
      <c r="M331" s="4" t="n"/>
      <c r="N331" s="4" t="n"/>
      <c r="O331" s="4" t="n"/>
      <c r="P331" s="4" t="n"/>
      <c r="Q331" s="4" t="n"/>
      <c r="R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>
        <f>MAX(0,G332+H332-I332)</f>
        <v/>
      </c>
      <c r="K332" s="4">
        <f>IFERROR(I332/MAX(1,J332)*30,0)</f>
        <v/>
      </c>
      <c r="L332" s="4" t="n"/>
      <c r="M332" s="4" t="n"/>
      <c r="N332" s="4" t="n"/>
      <c r="O332" s="4" t="n"/>
      <c r="P332" s="4" t="n"/>
      <c r="Q332" s="4" t="n"/>
      <c r="R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>
        <f>MAX(0,G333+H333-I333)</f>
        <v/>
      </c>
      <c r="K333" s="4">
        <f>IFERROR(I333/MAX(1,J333)*30,0)</f>
        <v/>
      </c>
      <c r="L333" s="4" t="n"/>
      <c r="M333" s="4" t="n"/>
      <c r="N333" s="4" t="n"/>
      <c r="O333" s="4" t="n"/>
      <c r="P333" s="4" t="n"/>
      <c r="Q333" s="4" t="n"/>
      <c r="R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>
        <f>MAX(0,G334+H334-I334)</f>
        <v/>
      </c>
      <c r="K334" s="4">
        <f>IFERROR(I334/MAX(1,J334)*30,0)</f>
        <v/>
      </c>
      <c r="L334" s="4" t="n"/>
      <c r="M334" s="4" t="n"/>
      <c r="N334" s="4" t="n"/>
      <c r="O334" s="4" t="n"/>
      <c r="P334" s="4" t="n"/>
      <c r="Q334" s="4" t="n"/>
      <c r="R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>
        <f>MAX(0,G335+H335-I335)</f>
        <v/>
      </c>
      <c r="K335" s="4">
        <f>IFERROR(I335/MAX(1,J335)*30,0)</f>
        <v/>
      </c>
      <c r="L335" s="4" t="n"/>
      <c r="M335" s="4" t="n"/>
      <c r="N335" s="4" t="n"/>
      <c r="O335" s="4" t="n"/>
      <c r="P335" s="4" t="n"/>
      <c r="Q335" s="4" t="n"/>
      <c r="R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>
        <f>MAX(0,G336+H336-I336)</f>
        <v/>
      </c>
      <c r="K336" s="4">
        <f>IFERROR(I336/MAX(1,J336)*30,0)</f>
        <v/>
      </c>
      <c r="L336" s="4" t="n"/>
      <c r="M336" s="4" t="n"/>
      <c r="N336" s="4" t="n"/>
      <c r="O336" s="4" t="n"/>
      <c r="P336" s="4" t="n"/>
      <c r="Q336" s="4" t="n"/>
      <c r="R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>
        <f>MAX(0,G337+H337-I337)</f>
        <v/>
      </c>
      <c r="K337" s="4">
        <f>IFERROR(I337/MAX(1,J337)*30,0)</f>
        <v/>
      </c>
      <c r="L337" s="4" t="n"/>
      <c r="M337" s="4" t="n"/>
      <c r="N337" s="4" t="n"/>
      <c r="O337" s="4" t="n"/>
      <c r="P337" s="4" t="n"/>
      <c r="Q337" s="4" t="n"/>
      <c r="R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>
        <f>MAX(0,G338+H338-I338)</f>
        <v/>
      </c>
      <c r="K338" s="4">
        <f>IFERROR(I338/MAX(1,J338)*30,0)</f>
        <v/>
      </c>
      <c r="L338" s="4" t="n"/>
      <c r="M338" s="4" t="n"/>
      <c r="N338" s="4" t="n"/>
      <c r="O338" s="4" t="n"/>
      <c r="P338" s="4" t="n"/>
      <c r="Q338" s="4" t="n"/>
      <c r="R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>
        <f>MAX(0,G339+H339-I339)</f>
        <v/>
      </c>
      <c r="K339" s="4">
        <f>IFERROR(I339/MAX(1,J339)*30,0)</f>
        <v/>
      </c>
      <c r="L339" s="4" t="n"/>
      <c r="M339" s="4" t="n"/>
      <c r="N339" s="4" t="n"/>
      <c r="O339" s="4" t="n"/>
      <c r="P339" s="4" t="n"/>
      <c r="Q339" s="4" t="n"/>
      <c r="R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>
        <f>MAX(0,G340+H340-I340)</f>
        <v/>
      </c>
      <c r="K340" s="4">
        <f>IFERROR(I340/MAX(1,J340)*30,0)</f>
        <v/>
      </c>
      <c r="L340" s="4" t="n"/>
      <c r="M340" s="4" t="n"/>
      <c r="N340" s="4" t="n"/>
      <c r="O340" s="4" t="n"/>
      <c r="P340" s="4" t="n"/>
      <c r="Q340" s="4" t="n"/>
      <c r="R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>
        <f>MAX(0,G341+H341-I341)</f>
        <v/>
      </c>
      <c r="K341" s="4">
        <f>IFERROR(I341/MAX(1,J341)*30,0)</f>
        <v/>
      </c>
      <c r="L341" s="4" t="n"/>
      <c r="M341" s="4" t="n"/>
      <c r="N341" s="4" t="n"/>
      <c r="O341" s="4" t="n"/>
      <c r="P341" s="4" t="n"/>
      <c r="Q341" s="4" t="n"/>
      <c r="R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>
        <f>MAX(0,G342+H342-I342)</f>
        <v/>
      </c>
      <c r="K342" s="4">
        <f>IFERROR(I342/MAX(1,J342)*30,0)</f>
        <v/>
      </c>
      <c r="L342" s="4" t="n"/>
      <c r="M342" s="4" t="n"/>
      <c r="N342" s="4" t="n"/>
      <c r="O342" s="4" t="n"/>
      <c r="P342" s="4" t="n"/>
      <c r="Q342" s="4" t="n"/>
      <c r="R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>
        <f>MAX(0,G343+H343-I343)</f>
        <v/>
      </c>
      <c r="K343" s="4">
        <f>IFERROR(I343/MAX(1,J343)*30,0)</f>
        <v/>
      </c>
      <c r="L343" s="4" t="n"/>
      <c r="M343" s="4" t="n"/>
      <c r="N343" s="4" t="n"/>
      <c r="O343" s="4" t="n"/>
      <c r="P343" s="4" t="n"/>
      <c r="Q343" s="4" t="n"/>
      <c r="R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>
        <f>MAX(0,G344+H344-I344)</f>
        <v/>
      </c>
      <c r="K344" s="4">
        <f>IFERROR(I344/MAX(1,J344)*30,0)</f>
        <v/>
      </c>
      <c r="L344" s="4" t="n"/>
      <c r="M344" s="4" t="n"/>
      <c r="N344" s="4" t="n"/>
      <c r="O344" s="4" t="n"/>
      <c r="P344" s="4" t="n"/>
      <c r="Q344" s="4" t="n"/>
      <c r="R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>
        <f>MAX(0,G345+H345-I345)</f>
        <v/>
      </c>
      <c r="K345" s="4">
        <f>IFERROR(I345/MAX(1,J345)*30,0)</f>
        <v/>
      </c>
      <c r="L345" s="4" t="n"/>
      <c r="M345" s="4" t="n"/>
      <c r="N345" s="4" t="n"/>
      <c r="O345" s="4" t="n"/>
      <c r="P345" s="4" t="n"/>
      <c r="Q345" s="4" t="n"/>
      <c r="R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>
        <f>MAX(0,G346+H346-I346)</f>
        <v/>
      </c>
      <c r="K346" s="4">
        <f>IFERROR(I346/MAX(1,J346)*30,0)</f>
        <v/>
      </c>
      <c r="L346" s="4" t="n"/>
      <c r="M346" s="4" t="n"/>
      <c r="N346" s="4" t="n"/>
      <c r="O346" s="4" t="n"/>
      <c r="P346" s="4" t="n"/>
      <c r="Q346" s="4" t="n"/>
      <c r="R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>
        <f>MAX(0,G347+H347-I347)</f>
        <v/>
      </c>
      <c r="K347" s="4">
        <f>IFERROR(I347/MAX(1,J347)*30,0)</f>
        <v/>
      </c>
      <c r="L347" s="4" t="n"/>
      <c r="M347" s="4" t="n"/>
      <c r="N347" s="4" t="n"/>
      <c r="O347" s="4" t="n"/>
      <c r="P347" s="4" t="n"/>
      <c r="Q347" s="4" t="n"/>
      <c r="R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>
        <f>MAX(0,G348+H348-I348)</f>
        <v/>
      </c>
      <c r="K348" s="4">
        <f>IFERROR(I348/MAX(1,J348)*30,0)</f>
        <v/>
      </c>
      <c r="L348" s="4" t="n"/>
      <c r="M348" s="4" t="n"/>
      <c r="N348" s="4" t="n"/>
      <c r="O348" s="4" t="n"/>
      <c r="P348" s="4" t="n"/>
      <c r="Q348" s="4" t="n"/>
      <c r="R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>
        <f>MAX(0,G349+H349-I349)</f>
        <v/>
      </c>
      <c r="K349" s="4">
        <f>IFERROR(I349/MAX(1,J349)*30,0)</f>
        <v/>
      </c>
      <c r="L349" s="4" t="n"/>
      <c r="M349" s="4" t="n"/>
      <c r="N349" s="4" t="n"/>
      <c r="O349" s="4" t="n"/>
      <c r="P349" s="4" t="n"/>
      <c r="Q349" s="4" t="n"/>
      <c r="R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>
        <f>MAX(0,G350+H350-I350)</f>
        <v/>
      </c>
      <c r="K350" s="4">
        <f>IFERROR(I350/MAX(1,J350)*30,0)</f>
        <v/>
      </c>
      <c r="L350" s="4" t="n"/>
      <c r="M350" s="4" t="n"/>
      <c r="N350" s="4" t="n"/>
      <c r="O350" s="4" t="n"/>
      <c r="P350" s="4" t="n"/>
      <c r="Q350" s="4" t="n"/>
      <c r="R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>
        <f>MAX(0,G351+H351-I351)</f>
        <v/>
      </c>
      <c r="K351" s="4">
        <f>IFERROR(I351/MAX(1,J351)*30,0)</f>
        <v/>
      </c>
      <c r="L351" s="4" t="n"/>
      <c r="M351" s="4" t="n"/>
      <c r="N351" s="4" t="n"/>
      <c r="O351" s="4" t="n"/>
      <c r="P351" s="4" t="n"/>
      <c r="Q351" s="4" t="n"/>
      <c r="R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>
        <f>MAX(0,G352+H352-I352)</f>
        <v/>
      </c>
      <c r="K352" s="4">
        <f>IFERROR(I352/MAX(1,J352)*30,0)</f>
        <v/>
      </c>
      <c r="L352" s="4" t="n"/>
      <c r="M352" s="4" t="n"/>
      <c r="N352" s="4" t="n"/>
      <c r="O352" s="4" t="n"/>
      <c r="P352" s="4" t="n"/>
      <c r="Q352" s="4" t="n"/>
      <c r="R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>
        <f>MAX(0,G353+H353-I353)</f>
        <v/>
      </c>
      <c r="K353" s="4">
        <f>IFERROR(I353/MAX(1,J353)*30,0)</f>
        <v/>
      </c>
      <c r="L353" s="4" t="n"/>
      <c r="M353" s="4" t="n"/>
      <c r="N353" s="4" t="n"/>
      <c r="O353" s="4" t="n"/>
      <c r="P353" s="4" t="n"/>
      <c r="Q353" s="4" t="n"/>
      <c r="R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>
        <f>MAX(0,G354+H354-I354)</f>
        <v/>
      </c>
      <c r="K354" s="4">
        <f>IFERROR(I354/MAX(1,J354)*30,0)</f>
        <v/>
      </c>
      <c r="L354" s="4" t="n"/>
      <c r="M354" s="4" t="n"/>
      <c r="N354" s="4" t="n"/>
      <c r="O354" s="4" t="n"/>
      <c r="P354" s="4" t="n"/>
      <c r="Q354" s="4" t="n"/>
      <c r="R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>
        <f>MAX(0,G355+H355-I355)</f>
        <v/>
      </c>
      <c r="K355" s="4">
        <f>IFERROR(I355/MAX(1,J355)*30,0)</f>
        <v/>
      </c>
      <c r="L355" s="4" t="n"/>
      <c r="M355" s="4" t="n"/>
      <c r="N355" s="4" t="n"/>
      <c r="O355" s="4" t="n"/>
      <c r="P355" s="4" t="n"/>
      <c r="Q355" s="4" t="n"/>
      <c r="R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>
        <f>MAX(0,G356+H356-I356)</f>
        <v/>
      </c>
      <c r="K356" s="4">
        <f>IFERROR(I356/MAX(1,J356)*30,0)</f>
        <v/>
      </c>
      <c r="L356" s="4" t="n"/>
      <c r="M356" s="4" t="n"/>
      <c r="N356" s="4" t="n"/>
      <c r="O356" s="4" t="n"/>
      <c r="P356" s="4" t="n"/>
      <c r="Q356" s="4" t="n"/>
      <c r="R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>
        <f>MAX(0,G357+H357-I357)</f>
        <v/>
      </c>
      <c r="K357" s="4">
        <f>IFERROR(I357/MAX(1,J357)*30,0)</f>
        <v/>
      </c>
      <c r="L357" s="4" t="n"/>
      <c r="M357" s="4" t="n"/>
      <c r="N357" s="4" t="n"/>
      <c r="O357" s="4" t="n"/>
      <c r="P357" s="4" t="n"/>
      <c r="Q357" s="4" t="n"/>
      <c r="R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>
        <f>MAX(0,G358+H358-I358)</f>
        <v/>
      </c>
      <c r="K358" s="4">
        <f>IFERROR(I358/MAX(1,J358)*30,0)</f>
        <v/>
      </c>
      <c r="L358" s="4" t="n"/>
      <c r="M358" s="4" t="n"/>
      <c r="N358" s="4" t="n"/>
      <c r="O358" s="4" t="n"/>
      <c r="P358" s="4" t="n"/>
      <c r="Q358" s="4" t="n"/>
      <c r="R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>
        <f>MAX(0,G359+H359-I359)</f>
        <v/>
      </c>
      <c r="K359" s="4">
        <f>IFERROR(I359/MAX(1,J359)*30,0)</f>
        <v/>
      </c>
      <c r="L359" s="4" t="n"/>
      <c r="M359" s="4" t="n"/>
      <c r="N359" s="4" t="n"/>
      <c r="O359" s="4" t="n"/>
      <c r="P359" s="4" t="n"/>
      <c r="Q359" s="4" t="n"/>
      <c r="R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>
        <f>MAX(0,G360+H360-I360)</f>
        <v/>
      </c>
      <c r="K360" s="4">
        <f>IFERROR(I360/MAX(1,J360)*30,0)</f>
        <v/>
      </c>
      <c r="L360" s="4" t="n"/>
      <c r="M360" s="4" t="n"/>
      <c r="N360" s="4" t="n"/>
      <c r="O360" s="4" t="n"/>
      <c r="P360" s="4" t="n"/>
      <c r="Q360" s="4" t="n"/>
      <c r="R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>
        <f>MAX(0,G361+H361-I361)</f>
        <v/>
      </c>
      <c r="K361" s="4">
        <f>IFERROR(I361/MAX(1,J361)*30,0)</f>
        <v/>
      </c>
      <c r="L361" s="4" t="n"/>
      <c r="M361" s="4" t="n"/>
      <c r="N361" s="4" t="n"/>
      <c r="O361" s="4" t="n"/>
      <c r="P361" s="4" t="n"/>
      <c r="Q361" s="4" t="n"/>
      <c r="R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>
        <f>MAX(0,G362+H362-I362)</f>
        <v/>
      </c>
      <c r="K362" s="4">
        <f>IFERROR(I362/MAX(1,J362)*30,0)</f>
        <v/>
      </c>
      <c r="L362" s="4" t="n"/>
      <c r="M362" s="4" t="n"/>
      <c r="N362" s="4" t="n"/>
      <c r="O362" s="4" t="n"/>
      <c r="P362" s="4" t="n"/>
      <c r="Q362" s="4" t="n"/>
      <c r="R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>
        <f>MAX(0,G363+H363-I363)</f>
        <v/>
      </c>
      <c r="K363" s="4">
        <f>IFERROR(I363/MAX(1,J363)*30,0)</f>
        <v/>
      </c>
      <c r="L363" s="4" t="n"/>
      <c r="M363" s="4" t="n"/>
      <c r="N363" s="4" t="n"/>
      <c r="O363" s="4" t="n"/>
      <c r="P363" s="4" t="n"/>
      <c r="Q363" s="4" t="n"/>
      <c r="R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>
        <f>MAX(0,G364+H364-I364)</f>
        <v/>
      </c>
      <c r="K364" s="4">
        <f>IFERROR(I364/MAX(1,J364)*30,0)</f>
        <v/>
      </c>
      <c r="L364" s="4" t="n"/>
      <c r="M364" s="4" t="n"/>
      <c r="N364" s="4" t="n"/>
      <c r="O364" s="4" t="n"/>
      <c r="P364" s="4" t="n"/>
      <c r="Q364" s="4" t="n"/>
      <c r="R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>
        <f>MAX(0,G365+H365-I365)</f>
        <v/>
      </c>
      <c r="K365" s="4">
        <f>IFERROR(I365/MAX(1,J365)*30,0)</f>
        <v/>
      </c>
      <c r="L365" s="4" t="n"/>
      <c r="M365" s="4" t="n"/>
      <c r="N365" s="4" t="n"/>
      <c r="O365" s="4" t="n"/>
      <c r="P365" s="4" t="n"/>
      <c r="Q365" s="4" t="n"/>
      <c r="R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>
        <f>MAX(0,G366+H366-I366)</f>
        <v/>
      </c>
      <c r="K366" s="4">
        <f>IFERROR(I366/MAX(1,J366)*30,0)</f>
        <v/>
      </c>
      <c r="L366" s="4" t="n"/>
      <c r="M366" s="4" t="n"/>
      <c r="N366" s="4" t="n"/>
      <c r="O366" s="4" t="n"/>
      <c r="P366" s="4" t="n"/>
      <c r="Q366" s="4" t="n"/>
      <c r="R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>
        <f>MAX(0,G367+H367-I367)</f>
        <v/>
      </c>
      <c r="K367" s="4">
        <f>IFERROR(I367/MAX(1,J367)*30,0)</f>
        <v/>
      </c>
      <c r="L367" s="4" t="n"/>
      <c r="M367" s="4" t="n"/>
      <c r="N367" s="4" t="n"/>
      <c r="O367" s="4" t="n"/>
      <c r="P367" s="4" t="n"/>
      <c r="Q367" s="4" t="n"/>
      <c r="R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>
        <f>MAX(0,G368+H368-I368)</f>
        <v/>
      </c>
      <c r="K368" s="4">
        <f>IFERROR(I368/MAX(1,J368)*30,0)</f>
        <v/>
      </c>
      <c r="L368" s="4" t="n"/>
      <c r="M368" s="4" t="n"/>
      <c r="N368" s="4" t="n"/>
      <c r="O368" s="4" t="n"/>
      <c r="P368" s="4" t="n"/>
      <c r="Q368" s="4" t="n"/>
      <c r="R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>
        <f>MAX(0,G369+H369-I369)</f>
        <v/>
      </c>
      <c r="K369" s="4">
        <f>IFERROR(I369/MAX(1,J369)*30,0)</f>
        <v/>
      </c>
      <c r="L369" s="4" t="n"/>
      <c r="M369" s="4" t="n"/>
      <c r="N369" s="4" t="n"/>
      <c r="O369" s="4" t="n"/>
      <c r="P369" s="4" t="n"/>
      <c r="Q369" s="4" t="n"/>
      <c r="R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>
        <f>MAX(0,G370+H370-I370)</f>
        <v/>
      </c>
      <c r="K370" s="4">
        <f>IFERROR(I370/MAX(1,J370)*30,0)</f>
        <v/>
      </c>
      <c r="L370" s="4" t="n"/>
      <c r="M370" s="4" t="n"/>
      <c r="N370" s="4" t="n"/>
      <c r="O370" s="4" t="n"/>
      <c r="P370" s="4" t="n"/>
      <c r="Q370" s="4" t="n"/>
      <c r="R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>
        <f>MAX(0,G371+H371-I371)</f>
        <v/>
      </c>
      <c r="K371" s="4">
        <f>IFERROR(I371/MAX(1,J371)*30,0)</f>
        <v/>
      </c>
      <c r="L371" s="4" t="n"/>
      <c r="M371" s="4" t="n"/>
      <c r="N371" s="4" t="n"/>
      <c r="O371" s="4" t="n"/>
      <c r="P371" s="4" t="n"/>
      <c r="Q371" s="4" t="n"/>
      <c r="R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>
        <f>MAX(0,G372+H372-I372)</f>
        <v/>
      </c>
      <c r="K372" s="4">
        <f>IFERROR(I372/MAX(1,J372)*30,0)</f>
        <v/>
      </c>
      <c r="L372" s="4" t="n"/>
      <c r="M372" s="4" t="n"/>
      <c r="N372" s="4" t="n"/>
      <c r="O372" s="4" t="n"/>
      <c r="P372" s="4" t="n"/>
      <c r="Q372" s="4" t="n"/>
      <c r="R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>
        <f>MAX(0,G373+H373-I373)</f>
        <v/>
      </c>
      <c r="K373" s="4">
        <f>IFERROR(I373/MAX(1,J373)*30,0)</f>
        <v/>
      </c>
      <c r="L373" s="4" t="n"/>
      <c r="M373" s="4" t="n"/>
      <c r="N373" s="4" t="n"/>
      <c r="O373" s="4" t="n"/>
      <c r="P373" s="4" t="n"/>
      <c r="Q373" s="4" t="n"/>
      <c r="R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>
        <f>MAX(0,G374+H374-I374)</f>
        <v/>
      </c>
      <c r="K374" s="4">
        <f>IFERROR(I374/MAX(1,J374)*30,0)</f>
        <v/>
      </c>
      <c r="L374" s="4" t="n"/>
      <c r="M374" s="4" t="n"/>
      <c r="N374" s="4" t="n"/>
      <c r="O374" s="4" t="n"/>
      <c r="P374" s="4" t="n"/>
      <c r="Q374" s="4" t="n"/>
      <c r="R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>
        <f>MAX(0,G375+H375-I375)</f>
        <v/>
      </c>
      <c r="K375" s="4">
        <f>IFERROR(I375/MAX(1,J375)*30,0)</f>
        <v/>
      </c>
      <c r="L375" s="4" t="n"/>
      <c r="M375" s="4" t="n"/>
      <c r="N375" s="4" t="n"/>
      <c r="O375" s="4" t="n"/>
      <c r="P375" s="4" t="n"/>
      <c r="Q375" s="4" t="n"/>
      <c r="R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>
        <f>MAX(0,G376+H376-I376)</f>
        <v/>
      </c>
      <c r="K376" s="4">
        <f>IFERROR(I376/MAX(1,J376)*30,0)</f>
        <v/>
      </c>
      <c r="L376" s="4" t="n"/>
      <c r="M376" s="4" t="n"/>
      <c r="N376" s="4" t="n"/>
      <c r="O376" s="4" t="n"/>
      <c r="P376" s="4" t="n"/>
      <c r="Q376" s="4" t="n"/>
      <c r="R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>
        <f>MAX(0,G377+H377-I377)</f>
        <v/>
      </c>
      <c r="K377" s="4">
        <f>IFERROR(I377/MAX(1,J377)*30,0)</f>
        <v/>
      </c>
      <c r="L377" s="4" t="n"/>
      <c r="M377" s="4" t="n"/>
      <c r="N377" s="4" t="n"/>
      <c r="O377" s="4" t="n"/>
      <c r="P377" s="4" t="n"/>
      <c r="Q377" s="4" t="n"/>
      <c r="R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>
        <f>MAX(0,G378+H378-I378)</f>
        <v/>
      </c>
      <c r="K378" s="4">
        <f>IFERROR(I378/MAX(1,J378)*30,0)</f>
        <v/>
      </c>
      <c r="L378" s="4" t="n"/>
      <c r="M378" s="4" t="n"/>
      <c r="N378" s="4" t="n"/>
      <c r="O378" s="4" t="n"/>
      <c r="P378" s="4" t="n"/>
      <c r="Q378" s="4" t="n"/>
      <c r="R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>
        <f>MAX(0,G379+H379-I379)</f>
        <v/>
      </c>
      <c r="K379" s="4">
        <f>IFERROR(I379/MAX(1,J379)*30,0)</f>
        <v/>
      </c>
      <c r="L379" s="4" t="n"/>
      <c r="M379" s="4" t="n"/>
      <c r="N379" s="4" t="n"/>
      <c r="O379" s="4" t="n"/>
      <c r="P379" s="4" t="n"/>
      <c r="Q379" s="4" t="n"/>
      <c r="R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>
        <f>MAX(0,G380+H380-I380)</f>
        <v/>
      </c>
      <c r="K380" s="4">
        <f>IFERROR(I380/MAX(1,J380)*30,0)</f>
        <v/>
      </c>
      <c r="L380" s="4" t="n"/>
      <c r="M380" s="4" t="n"/>
      <c r="N380" s="4" t="n"/>
      <c r="O380" s="4" t="n"/>
      <c r="P380" s="4" t="n"/>
      <c r="Q380" s="4" t="n"/>
      <c r="R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>
        <f>MAX(0,G381+H381-I381)</f>
        <v/>
      </c>
      <c r="K381" s="4">
        <f>IFERROR(I381/MAX(1,J381)*30,0)</f>
        <v/>
      </c>
      <c r="L381" s="4" t="n"/>
      <c r="M381" s="4" t="n"/>
      <c r="N381" s="4" t="n"/>
      <c r="O381" s="4" t="n"/>
      <c r="P381" s="4" t="n"/>
      <c r="Q381" s="4" t="n"/>
      <c r="R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>
        <f>MAX(0,G382+H382-I382)</f>
        <v/>
      </c>
      <c r="K382" s="4">
        <f>IFERROR(I382/MAX(1,J382)*30,0)</f>
        <v/>
      </c>
      <c r="L382" s="4" t="n"/>
      <c r="M382" s="4" t="n"/>
      <c r="N382" s="4" t="n"/>
      <c r="O382" s="4" t="n"/>
      <c r="P382" s="4" t="n"/>
      <c r="Q382" s="4" t="n"/>
      <c r="R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>
        <f>MAX(0,G383+H383-I383)</f>
        <v/>
      </c>
      <c r="K383" s="4">
        <f>IFERROR(I383/MAX(1,J383)*30,0)</f>
        <v/>
      </c>
      <c r="L383" s="4" t="n"/>
      <c r="M383" s="4" t="n"/>
      <c r="N383" s="4" t="n"/>
      <c r="O383" s="4" t="n"/>
      <c r="P383" s="4" t="n"/>
      <c r="Q383" s="4" t="n"/>
      <c r="R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>
        <f>MAX(0,G384+H384-I384)</f>
        <v/>
      </c>
      <c r="K384" s="4">
        <f>IFERROR(I384/MAX(1,J384)*30,0)</f>
        <v/>
      </c>
      <c r="L384" s="4" t="n"/>
      <c r="M384" s="4" t="n"/>
      <c r="N384" s="4" t="n"/>
      <c r="O384" s="4" t="n"/>
      <c r="P384" s="4" t="n"/>
      <c r="Q384" s="4" t="n"/>
      <c r="R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>
        <f>MAX(0,G385+H385-I385)</f>
        <v/>
      </c>
      <c r="K385" s="4">
        <f>IFERROR(I385/MAX(1,J385)*30,0)</f>
        <v/>
      </c>
      <c r="L385" s="4" t="n"/>
      <c r="M385" s="4" t="n"/>
      <c r="N385" s="4" t="n"/>
      <c r="O385" s="4" t="n"/>
      <c r="P385" s="4" t="n"/>
      <c r="Q385" s="4" t="n"/>
      <c r="R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>
        <f>MAX(0,G386+H386-I386)</f>
        <v/>
      </c>
      <c r="K386" s="4">
        <f>IFERROR(I386/MAX(1,J386)*30,0)</f>
        <v/>
      </c>
      <c r="L386" s="4" t="n"/>
      <c r="M386" s="4" t="n"/>
      <c r="N386" s="4" t="n"/>
      <c r="O386" s="4" t="n"/>
      <c r="P386" s="4" t="n"/>
      <c r="Q386" s="4" t="n"/>
      <c r="R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>
        <f>MAX(0,G387+H387-I387)</f>
        <v/>
      </c>
      <c r="K387" s="4">
        <f>IFERROR(I387/MAX(1,J387)*30,0)</f>
        <v/>
      </c>
      <c r="L387" s="4" t="n"/>
      <c r="M387" s="4" t="n"/>
      <c r="N387" s="4" t="n"/>
      <c r="O387" s="4" t="n"/>
      <c r="P387" s="4" t="n"/>
      <c r="Q387" s="4" t="n"/>
      <c r="R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>
        <f>MAX(0,G388+H388-I388)</f>
        <v/>
      </c>
      <c r="K388" s="4">
        <f>IFERROR(I388/MAX(1,J388)*30,0)</f>
        <v/>
      </c>
      <c r="L388" s="4" t="n"/>
      <c r="M388" s="4" t="n"/>
      <c r="N388" s="4" t="n"/>
      <c r="O388" s="4" t="n"/>
      <c r="P388" s="4" t="n"/>
      <c r="Q388" s="4" t="n"/>
      <c r="R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>
        <f>MAX(0,G389+H389-I389)</f>
        <v/>
      </c>
      <c r="K389" s="4">
        <f>IFERROR(I389/MAX(1,J389)*30,0)</f>
        <v/>
      </c>
      <c r="L389" s="4" t="n"/>
      <c r="M389" s="4" t="n"/>
      <c r="N389" s="4" t="n"/>
      <c r="O389" s="4" t="n"/>
      <c r="P389" s="4" t="n"/>
      <c r="Q389" s="4" t="n"/>
      <c r="R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>
        <f>MAX(0,G390+H390-I390)</f>
        <v/>
      </c>
      <c r="K390" s="4">
        <f>IFERROR(I390/MAX(1,J390)*30,0)</f>
        <v/>
      </c>
      <c r="L390" s="4" t="n"/>
      <c r="M390" s="4" t="n"/>
      <c r="N390" s="4" t="n"/>
      <c r="O390" s="4" t="n"/>
      <c r="P390" s="4" t="n"/>
      <c r="Q390" s="4" t="n"/>
      <c r="R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>
        <f>MAX(0,G391+H391-I391)</f>
        <v/>
      </c>
      <c r="K391" s="4">
        <f>IFERROR(I391/MAX(1,J391)*30,0)</f>
        <v/>
      </c>
      <c r="L391" s="4" t="n"/>
      <c r="M391" s="4" t="n"/>
      <c r="N391" s="4" t="n"/>
      <c r="O391" s="4" t="n"/>
      <c r="P391" s="4" t="n"/>
      <c r="Q391" s="4" t="n"/>
      <c r="R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>
        <f>MAX(0,G392+H392-I392)</f>
        <v/>
      </c>
      <c r="K392" s="4">
        <f>IFERROR(I392/MAX(1,J392)*30,0)</f>
        <v/>
      </c>
      <c r="L392" s="4" t="n"/>
      <c r="M392" s="4" t="n"/>
      <c r="N392" s="4" t="n"/>
      <c r="O392" s="4" t="n"/>
      <c r="P392" s="4" t="n"/>
      <c r="Q392" s="4" t="n"/>
      <c r="R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>
        <f>MAX(0,G393+H393-I393)</f>
        <v/>
      </c>
      <c r="K393" s="4">
        <f>IFERROR(I393/MAX(1,J393)*30,0)</f>
        <v/>
      </c>
      <c r="L393" s="4" t="n"/>
      <c r="M393" s="4" t="n"/>
      <c r="N393" s="4" t="n"/>
      <c r="O393" s="4" t="n"/>
      <c r="P393" s="4" t="n"/>
      <c r="Q393" s="4" t="n"/>
      <c r="R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>
        <f>MAX(0,G394+H394-I394)</f>
        <v/>
      </c>
      <c r="K394" s="4">
        <f>IFERROR(I394/MAX(1,J394)*30,0)</f>
        <v/>
      </c>
      <c r="L394" s="4" t="n"/>
      <c r="M394" s="4" t="n"/>
      <c r="N394" s="4" t="n"/>
      <c r="O394" s="4" t="n"/>
      <c r="P394" s="4" t="n"/>
      <c r="Q394" s="4" t="n"/>
      <c r="R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>
        <f>MAX(0,G395+H395-I395)</f>
        <v/>
      </c>
      <c r="K395" s="4">
        <f>IFERROR(I395/MAX(1,J395)*30,0)</f>
        <v/>
      </c>
      <c r="L395" s="4" t="n"/>
      <c r="M395" s="4" t="n"/>
      <c r="N395" s="4" t="n"/>
      <c r="O395" s="4" t="n"/>
      <c r="P395" s="4" t="n"/>
      <c r="Q395" s="4" t="n"/>
      <c r="R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>
        <f>MAX(0,G396+H396-I396)</f>
        <v/>
      </c>
      <c r="K396" s="4">
        <f>IFERROR(I396/MAX(1,J396)*30,0)</f>
        <v/>
      </c>
      <c r="L396" s="4" t="n"/>
      <c r="M396" s="4" t="n"/>
      <c r="N396" s="4" t="n"/>
      <c r="O396" s="4" t="n"/>
      <c r="P396" s="4" t="n"/>
      <c r="Q396" s="4" t="n"/>
      <c r="R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>
        <f>MAX(0,G397+H397-I397)</f>
        <v/>
      </c>
      <c r="K397" s="4">
        <f>IFERROR(I397/MAX(1,J397)*30,0)</f>
        <v/>
      </c>
      <c r="L397" s="4" t="n"/>
      <c r="M397" s="4" t="n"/>
      <c r="N397" s="4" t="n"/>
      <c r="O397" s="4" t="n"/>
      <c r="P397" s="4" t="n"/>
      <c r="Q397" s="4" t="n"/>
      <c r="R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>
        <f>MAX(0,G398+H398-I398)</f>
        <v/>
      </c>
      <c r="K398" s="4">
        <f>IFERROR(I398/MAX(1,J398)*30,0)</f>
        <v/>
      </c>
      <c r="L398" s="4" t="n"/>
      <c r="M398" s="4" t="n"/>
      <c r="N398" s="4" t="n"/>
      <c r="O398" s="4" t="n"/>
      <c r="P398" s="4" t="n"/>
      <c r="Q398" s="4" t="n"/>
      <c r="R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>
        <f>MAX(0,G399+H399-I399)</f>
        <v/>
      </c>
      <c r="K399" s="4">
        <f>IFERROR(I399/MAX(1,J399)*30,0)</f>
        <v/>
      </c>
      <c r="L399" s="4" t="n"/>
      <c r="M399" s="4" t="n"/>
      <c r="N399" s="4" t="n"/>
      <c r="O399" s="4" t="n"/>
      <c r="P399" s="4" t="n"/>
      <c r="Q399" s="4" t="n"/>
      <c r="R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>
        <f>MAX(0,G400+H400-I400)</f>
        <v/>
      </c>
      <c r="K400" s="4">
        <f>IFERROR(I400/MAX(1,J400)*30,0)</f>
        <v/>
      </c>
      <c r="L400" s="4" t="n"/>
      <c r="M400" s="4" t="n"/>
      <c r="N400" s="4" t="n"/>
      <c r="O400" s="4" t="n"/>
      <c r="P400" s="4" t="n"/>
      <c r="Q400" s="4" t="n"/>
      <c r="R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>
        <f>MAX(0,G401+H401-I401)</f>
        <v/>
      </c>
      <c r="K401" s="4">
        <f>IFERROR(I401/MAX(1,J401)*30,0)</f>
        <v/>
      </c>
      <c r="L401" s="4" t="n"/>
      <c r="M401" s="4" t="n"/>
      <c r="N401" s="4" t="n"/>
      <c r="O401" s="4" t="n"/>
      <c r="P401" s="4" t="n"/>
      <c r="Q401" s="4" t="n"/>
      <c r="R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>
        <f>MAX(0,G402+H402-I402)</f>
        <v/>
      </c>
      <c r="K402" s="4">
        <f>IFERROR(I402/MAX(1,J402)*30,0)</f>
        <v/>
      </c>
      <c r="L402" s="4" t="n"/>
      <c r="M402" s="4" t="n"/>
      <c r="N402" s="4" t="n"/>
      <c r="O402" s="4" t="n"/>
      <c r="P402" s="4" t="n"/>
      <c r="Q402" s="4" t="n"/>
      <c r="R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>
        <f>MAX(0,G403+H403-I403)</f>
        <v/>
      </c>
      <c r="K403" s="4">
        <f>IFERROR(I403/MAX(1,J403)*30,0)</f>
        <v/>
      </c>
      <c r="L403" s="4" t="n"/>
      <c r="M403" s="4" t="n"/>
      <c r="N403" s="4" t="n"/>
      <c r="O403" s="4" t="n"/>
      <c r="P403" s="4" t="n"/>
      <c r="Q403" s="4" t="n"/>
      <c r="R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>
        <f>MAX(0,G404+H404-I404)</f>
        <v/>
      </c>
      <c r="K404" s="4">
        <f>IFERROR(I404/MAX(1,J404)*30,0)</f>
        <v/>
      </c>
      <c r="L404" s="4" t="n"/>
      <c r="M404" s="4" t="n"/>
      <c r="N404" s="4" t="n"/>
      <c r="O404" s="4" t="n"/>
      <c r="P404" s="4" t="n"/>
      <c r="Q404" s="4" t="n"/>
      <c r="R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>
        <f>MAX(0,G405+H405-I405)</f>
        <v/>
      </c>
      <c r="K405" s="4">
        <f>IFERROR(I405/MAX(1,J405)*30,0)</f>
        <v/>
      </c>
      <c r="L405" s="4" t="n"/>
      <c r="M405" s="4" t="n"/>
      <c r="N405" s="4" t="n"/>
      <c r="O405" s="4" t="n"/>
      <c r="P405" s="4" t="n"/>
      <c r="Q405" s="4" t="n"/>
      <c r="R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>
        <f>MAX(0,G406+H406-I406)</f>
        <v/>
      </c>
      <c r="K406" s="4">
        <f>IFERROR(I406/MAX(1,J406)*30,0)</f>
        <v/>
      </c>
      <c r="L406" s="4" t="n"/>
      <c r="M406" s="4" t="n"/>
      <c r="N406" s="4" t="n"/>
      <c r="O406" s="4" t="n"/>
      <c r="P406" s="4" t="n"/>
      <c r="Q406" s="4" t="n"/>
      <c r="R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>
        <f>MAX(0,G407+H407-I407)</f>
        <v/>
      </c>
      <c r="K407" s="4">
        <f>IFERROR(I407/MAX(1,J407)*30,0)</f>
        <v/>
      </c>
      <c r="L407" s="4" t="n"/>
      <c r="M407" s="4" t="n"/>
      <c r="N407" s="4" t="n"/>
      <c r="O407" s="4" t="n"/>
      <c r="P407" s="4" t="n"/>
      <c r="Q407" s="4" t="n"/>
      <c r="R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>
        <f>MAX(0,G408+H408-I408)</f>
        <v/>
      </c>
      <c r="K408" s="4">
        <f>IFERROR(I408/MAX(1,J408)*30,0)</f>
        <v/>
      </c>
      <c r="L408" s="4" t="n"/>
      <c r="M408" s="4" t="n"/>
      <c r="N408" s="4" t="n"/>
      <c r="O408" s="4" t="n"/>
      <c r="P408" s="4" t="n"/>
      <c r="Q408" s="4" t="n"/>
      <c r="R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>
        <f>MAX(0,G409+H409-I409)</f>
        <v/>
      </c>
      <c r="K409" s="4">
        <f>IFERROR(I409/MAX(1,J409)*30,0)</f>
        <v/>
      </c>
      <c r="L409" s="4" t="n"/>
      <c r="M409" s="4" t="n"/>
      <c r="N409" s="4" t="n"/>
      <c r="O409" s="4" t="n"/>
      <c r="P409" s="4" t="n"/>
      <c r="Q409" s="4" t="n"/>
      <c r="R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>
        <f>MAX(0,G410+H410-I410)</f>
        <v/>
      </c>
      <c r="K410" s="4">
        <f>IFERROR(I410/MAX(1,J410)*30,0)</f>
        <v/>
      </c>
      <c r="L410" s="4" t="n"/>
      <c r="M410" s="4" t="n"/>
      <c r="N410" s="4" t="n"/>
      <c r="O410" s="4" t="n"/>
      <c r="P410" s="4" t="n"/>
      <c r="Q410" s="4" t="n"/>
      <c r="R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>
        <f>MAX(0,G411+H411-I411)</f>
        <v/>
      </c>
      <c r="K411" s="4">
        <f>IFERROR(I411/MAX(1,J411)*30,0)</f>
        <v/>
      </c>
      <c r="L411" s="4" t="n"/>
      <c r="M411" s="4" t="n"/>
      <c r="N411" s="4" t="n"/>
      <c r="O411" s="4" t="n"/>
      <c r="P411" s="4" t="n"/>
      <c r="Q411" s="4" t="n"/>
      <c r="R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>
        <f>MAX(0,G412+H412-I412)</f>
        <v/>
      </c>
      <c r="K412" s="4">
        <f>IFERROR(I412/MAX(1,J412)*30,0)</f>
        <v/>
      </c>
      <c r="L412" s="4" t="n"/>
      <c r="M412" s="4" t="n"/>
      <c r="N412" s="4" t="n"/>
      <c r="O412" s="4" t="n"/>
      <c r="P412" s="4" t="n"/>
      <c r="Q412" s="4" t="n"/>
      <c r="R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>
        <f>MAX(0,G413+H413-I413)</f>
        <v/>
      </c>
      <c r="K413" s="4">
        <f>IFERROR(I413/MAX(1,J413)*30,0)</f>
        <v/>
      </c>
      <c r="L413" s="4" t="n"/>
      <c r="M413" s="4" t="n"/>
      <c r="N413" s="4" t="n"/>
      <c r="O413" s="4" t="n"/>
      <c r="P413" s="4" t="n"/>
      <c r="Q413" s="4" t="n"/>
      <c r="R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>
        <f>MAX(0,G414+H414-I414)</f>
        <v/>
      </c>
      <c r="K414" s="4">
        <f>IFERROR(I414/MAX(1,J414)*30,0)</f>
        <v/>
      </c>
      <c r="L414" s="4" t="n"/>
      <c r="M414" s="4" t="n"/>
      <c r="N414" s="4" t="n"/>
      <c r="O414" s="4" t="n"/>
      <c r="P414" s="4" t="n"/>
      <c r="Q414" s="4" t="n"/>
      <c r="R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>
        <f>MAX(0,G415+H415-I415)</f>
        <v/>
      </c>
      <c r="K415" s="4">
        <f>IFERROR(I415/MAX(1,J415)*30,0)</f>
        <v/>
      </c>
      <c r="L415" s="4" t="n"/>
      <c r="M415" s="4" t="n"/>
      <c r="N415" s="4" t="n"/>
      <c r="O415" s="4" t="n"/>
      <c r="P415" s="4" t="n"/>
      <c r="Q415" s="4" t="n"/>
      <c r="R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>
        <f>MAX(0,G416+H416-I416)</f>
        <v/>
      </c>
      <c r="K416" s="4">
        <f>IFERROR(I416/MAX(1,J416)*30,0)</f>
        <v/>
      </c>
      <c r="L416" s="4" t="n"/>
      <c r="M416" s="4" t="n"/>
      <c r="N416" s="4" t="n"/>
      <c r="O416" s="4" t="n"/>
      <c r="P416" s="4" t="n"/>
      <c r="Q416" s="4" t="n"/>
      <c r="R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>
        <f>MAX(0,G417+H417-I417)</f>
        <v/>
      </c>
      <c r="K417" s="4">
        <f>IFERROR(I417/MAX(1,J417)*30,0)</f>
        <v/>
      </c>
      <c r="L417" s="4" t="n"/>
      <c r="M417" s="4" t="n"/>
      <c r="N417" s="4" t="n"/>
      <c r="O417" s="4" t="n"/>
      <c r="P417" s="4" t="n"/>
      <c r="Q417" s="4" t="n"/>
      <c r="R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>
        <f>MAX(0,G418+H418-I418)</f>
        <v/>
      </c>
      <c r="K418" s="4">
        <f>IFERROR(I418/MAX(1,J418)*30,0)</f>
        <v/>
      </c>
      <c r="L418" s="4" t="n"/>
      <c r="M418" s="4" t="n"/>
      <c r="N418" s="4" t="n"/>
      <c r="O418" s="4" t="n"/>
      <c r="P418" s="4" t="n"/>
      <c r="Q418" s="4" t="n"/>
      <c r="R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>
        <f>MAX(0,G419+H419-I419)</f>
        <v/>
      </c>
      <c r="K419" s="4">
        <f>IFERROR(I419/MAX(1,J419)*30,0)</f>
        <v/>
      </c>
      <c r="L419" s="4" t="n"/>
      <c r="M419" s="4" t="n"/>
      <c r="N419" s="4" t="n"/>
      <c r="O419" s="4" t="n"/>
      <c r="P419" s="4" t="n"/>
      <c r="Q419" s="4" t="n"/>
      <c r="R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>
        <f>MAX(0,G420+H420-I420)</f>
        <v/>
      </c>
      <c r="K420" s="4">
        <f>IFERROR(I420/MAX(1,J420)*30,0)</f>
        <v/>
      </c>
      <c r="L420" s="4" t="n"/>
      <c r="M420" s="4" t="n"/>
      <c r="N420" s="4" t="n"/>
      <c r="O420" s="4" t="n"/>
      <c r="P420" s="4" t="n"/>
      <c r="Q420" s="4" t="n"/>
      <c r="R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>
        <f>MAX(0,G421+H421-I421)</f>
        <v/>
      </c>
      <c r="K421" s="4">
        <f>IFERROR(I421/MAX(1,J421)*30,0)</f>
        <v/>
      </c>
      <c r="L421" s="4" t="n"/>
      <c r="M421" s="4" t="n"/>
      <c r="N421" s="4" t="n"/>
      <c r="O421" s="4" t="n"/>
      <c r="P421" s="4" t="n"/>
      <c r="Q421" s="4" t="n"/>
      <c r="R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>
        <f>MAX(0,G422+H422-I422)</f>
        <v/>
      </c>
      <c r="K422" s="4">
        <f>IFERROR(I422/MAX(1,J422)*30,0)</f>
        <v/>
      </c>
      <c r="L422" s="4" t="n"/>
      <c r="M422" s="4" t="n"/>
      <c r="N422" s="4" t="n"/>
      <c r="O422" s="4" t="n"/>
      <c r="P422" s="4" t="n"/>
      <c r="Q422" s="4" t="n"/>
      <c r="R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>
        <f>MAX(0,G423+H423-I423)</f>
        <v/>
      </c>
      <c r="K423" s="4">
        <f>IFERROR(I423/MAX(1,J423)*30,0)</f>
        <v/>
      </c>
      <c r="L423" s="4" t="n"/>
      <c r="M423" s="4" t="n"/>
      <c r="N423" s="4" t="n"/>
      <c r="O423" s="4" t="n"/>
      <c r="P423" s="4" t="n"/>
      <c r="Q423" s="4" t="n"/>
      <c r="R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>
        <f>MAX(0,G424+H424-I424)</f>
        <v/>
      </c>
      <c r="K424" s="4">
        <f>IFERROR(I424/MAX(1,J424)*30,0)</f>
        <v/>
      </c>
      <c r="L424" s="4" t="n"/>
      <c r="M424" s="4" t="n"/>
      <c r="N424" s="4" t="n"/>
      <c r="O424" s="4" t="n"/>
      <c r="P424" s="4" t="n"/>
      <c r="Q424" s="4" t="n"/>
      <c r="R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>
        <f>MAX(0,G425+H425-I425)</f>
        <v/>
      </c>
      <c r="K425" s="4">
        <f>IFERROR(I425/MAX(1,J425)*30,0)</f>
        <v/>
      </c>
      <c r="L425" s="4" t="n"/>
      <c r="M425" s="4" t="n"/>
      <c r="N425" s="4" t="n"/>
      <c r="O425" s="4" t="n"/>
      <c r="P425" s="4" t="n"/>
      <c r="Q425" s="4" t="n"/>
      <c r="R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>
        <f>MAX(0,G426+H426-I426)</f>
        <v/>
      </c>
      <c r="K426" s="4">
        <f>IFERROR(I426/MAX(1,J426)*30,0)</f>
        <v/>
      </c>
      <c r="L426" s="4" t="n"/>
      <c r="M426" s="4" t="n"/>
      <c r="N426" s="4" t="n"/>
      <c r="O426" s="4" t="n"/>
      <c r="P426" s="4" t="n"/>
      <c r="Q426" s="4" t="n"/>
      <c r="R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>
        <f>MAX(0,G427+H427-I427)</f>
        <v/>
      </c>
      <c r="K427" s="4">
        <f>IFERROR(I427/MAX(1,J427)*30,0)</f>
        <v/>
      </c>
      <c r="L427" s="4" t="n"/>
      <c r="M427" s="4" t="n"/>
      <c r="N427" s="4" t="n"/>
      <c r="O427" s="4" t="n"/>
      <c r="P427" s="4" t="n"/>
      <c r="Q427" s="4" t="n"/>
      <c r="R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>
        <f>MAX(0,G428+H428-I428)</f>
        <v/>
      </c>
      <c r="K428" s="4">
        <f>IFERROR(I428/MAX(1,J428)*30,0)</f>
        <v/>
      </c>
      <c r="L428" s="4" t="n"/>
      <c r="M428" s="4" t="n"/>
      <c r="N428" s="4" t="n"/>
      <c r="O428" s="4" t="n"/>
      <c r="P428" s="4" t="n"/>
      <c r="Q428" s="4" t="n"/>
      <c r="R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>
        <f>MAX(0,G429+H429-I429)</f>
        <v/>
      </c>
      <c r="K429" s="4">
        <f>IFERROR(I429/MAX(1,J429)*30,0)</f>
        <v/>
      </c>
      <c r="L429" s="4" t="n"/>
      <c r="M429" s="4" t="n"/>
      <c r="N429" s="4" t="n"/>
      <c r="O429" s="4" t="n"/>
      <c r="P429" s="4" t="n"/>
      <c r="Q429" s="4" t="n"/>
      <c r="R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>
        <f>MAX(0,G430+H430-I430)</f>
        <v/>
      </c>
      <c r="K430" s="4">
        <f>IFERROR(I430/MAX(1,J430)*30,0)</f>
        <v/>
      </c>
      <c r="L430" s="4" t="n"/>
      <c r="M430" s="4" t="n"/>
      <c r="N430" s="4" t="n"/>
      <c r="O430" s="4" t="n"/>
      <c r="P430" s="4" t="n"/>
      <c r="Q430" s="4" t="n"/>
      <c r="R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>
        <f>MAX(0,G431+H431-I431)</f>
        <v/>
      </c>
      <c r="K431" s="4">
        <f>IFERROR(I431/MAX(1,J431)*30,0)</f>
        <v/>
      </c>
      <c r="L431" s="4" t="n"/>
      <c r="M431" s="4" t="n"/>
      <c r="N431" s="4" t="n"/>
      <c r="O431" s="4" t="n"/>
      <c r="P431" s="4" t="n"/>
      <c r="Q431" s="4" t="n"/>
      <c r="R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>
        <f>MAX(0,G432+H432-I432)</f>
        <v/>
      </c>
      <c r="K432" s="4">
        <f>IFERROR(I432/MAX(1,J432)*30,0)</f>
        <v/>
      </c>
      <c r="L432" s="4" t="n"/>
      <c r="M432" s="4" t="n"/>
      <c r="N432" s="4" t="n"/>
      <c r="O432" s="4" t="n"/>
      <c r="P432" s="4" t="n"/>
      <c r="Q432" s="4" t="n"/>
      <c r="R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>
        <f>MAX(0,G433+H433-I433)</f>
        <v/>
      </c>
      <c r="K433" s="4">
        <f>IFERROR(I433/MAX(1,J433)*30,0)</f>
        <v/>
      </c>
      <c r="L433" s="4" t="n"/>
      <c r="M433" s="4" t="n"/>
      <c r="N433" s="4" t="n"/>
      <c r="O433" s="4" t="n"/>
      <c r="P433" s="4" t="n"/>
      <c r="Q433" s="4" t="n"/>
      <c r="R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>
        <f>MAX(0,G434+H434-I434)</f>
        <v/>
      </c>
      <c r="K434" s="4">
        <f>IFERROR(I434/MAX(1,J434)*30,0)</f>
        <v/>
      </c>
      <c r="L434" s="4" t="n"/>
      <c r="M434" s="4" t="n"/>
      <c r="N434" s="4" t="n"/>
      <c r="O434" s="4" t="n"/>
      <c r="P434" s="4" t="n"/>
      <c r="Q434" s="4" t="n"/>
      <c r="R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>
        <f>MAX(0,G435+H435-I435)</f>
        <v/>
      </c>
      <c r="K435" s="4">
        <f>IFERROR(I435/MAX(1,J435)*30,0)</f>
        <v/>
      </c>
      <c r="L435" s="4" t="n"/>
      <c r="M435" s="4" t="n"/>
      <c r="N435" s="4" t="n"/>
      <c r="O435" s="4" t="n"/>
      <c r="P435" s="4" t="n"/>
      <c r="Q435" s="4" t="n"/>
      <c r="R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>
        <f>MAX(0,G436+H436-I436)</f>
        <v/>
      </c>
      <c r="K436" s="4">
        <f>IFERROR(I436/MAX(1,J436)*30,0)</f>
        <v/>
      </c>
      <c r="L436" s="4" t="n"/>
      <c r="M436" s="4" t="n"/>
      <c r="N436" s="4" t="n"/>
      <c r="O436" s="4" t="n"/>
      <c r="P436" s="4" t="n"/>
      <c r="Q436" s="4" t="n"/>
      <c r="R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>
        <f>MAX(0,G437+H437-I437)</f>
        <v/>
      </c>
      <c r="K437" s="4">
        <f>IFERROR(I437/MAX(1,J437)*30,0)</f>
        <v/>
      </c>
      <c r="L437" s="4" t="n"/>
      <c r="M437" s="4" t="n"/>
      <c r="N437" s="4" t="n"/>
      <c r="O437" s="4" t="n"/>
      <c r="P437" s="4" t="n"/>
      <c r="Q437" s="4" t="n"/>
      <c r="R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>
        <f>MAX(0,G438+H438-I438)</f>
        <v/>
      </c>
      <c r="K438" s="4">
        <f>IFERROR(I438/MAX(1,J438)*30,0)</f>
        <v/>
      </c>
      <c r="L438" s="4" t="n"/>
      <c r="M438" s="4" t="n"/>
      <c r="N438" s="4" t="n"/>
      <c r="O438" s="4" t="n"/>
      <c r="P438" s="4" t="n"/>
      <c r="Q438" s="4" t="n"/>
      <c r="R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>
        <f>MAX(0,G439+H439-I439)</f>
        <v/>
      </c>
      <c r="K439" s="4">
        <f>IFERROR(I439/MAX(1,J439)*30,0)</f>
        <v/>
      </c>
      <c r="L439" s="4" t="n"/>
      <c r="M439" s="4" t="n"/>
      <c r="N439" s="4" t="n"/>
      <c r="O439" s="4" t="n"/>
      <c r="P439" s="4" t="n"/>
      <c r="Q439" s="4" t="n"/>
      <c r="R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>
        <f>MAX(0,G440+H440-I440)</f>
        <v/>
      </c>
      <c r="K440" s="4">
        <f>IFERROR(I440/MAX(1,J440)*30,0)</f>
        <v/>
      </c>
      <c r="L440" s="4" t="n"/>
      <c r="M440" s="4" t="n"/>
      <c r="N440" s="4" t="n"/>
      <c r="O440" s="4" t="n"/>
      <c r="P440" s="4" t="n"/>
      <c r="Q440" s="4" t="n"/>
      <c r="R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>
        <f>MAX(0,G441+H441-I441)</f>
        <v/>
      </c>
      <c r="K441" s="4">
        <f>IFERROR(I441/MAX(1,J441)*30,0)</f>
        <v/>
      </c>
      <c r="L441" s="4" t="n"/>
      <c r="M441" s="4" t="n"/>
      <c r="N441" s="4" t="n"/>
      <c r="O441" s="4" t="n"/>
      <c r="P441" s="4" t="n"/>
      <c r="Q441" s="4" t="n"/>
      <c r="R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>
        <f>MAX(0,G442+H442-I442)</f>
        <v/>
      </c>
      <c r="K442" s="4">
        <f>IFERROR(I442/MAX(1,J442)*30,0)</f>
        <v/>
      </c>
      <c r="L442" s="4" t="n"/>
      <c r="M442" s="4" t="n"/>
      <c r="N442" s="4" t="n"/>
      <c r="O442" s="4" t="n"/>
      <c r="P442" s="4" t="n"/>
      <c r="Q442" s="4" t="n"/>
      <c r="R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>
        <f>MAX(0,G443+H443-I443)</f>
        <v/>
      </c>
      <c r="K443" s="4">
        <f>IFERROR(I443/MAX(1,J443)*30,0)</f>
        <v/>
      </c>
      <c r="L443" s="4" t="n"/>
      <c r="M443" s="4" t="n"/>
      <c r="N443" s="4" t="n"/>
      <c r="O443" s="4" t="n"/>
      <c r="P443" s="4" t="n"/>
      <c r="Q443" s="4" t="n"/>
      <c r="R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>
        <f>MAX(0,G444+H444-I444)</f>
        <v/>
      </c>
      <c r="K444" s="4">
        <f>IFERROR(I444/MAX(1,J444)*30,0)</f>
        <v/>
      </c>
      <c r="L444" s="4" t="n"/>
      <c r="M444" s="4" t="n"/>
      <c r="N444" s="4" t="n"/>
      <c r="O444" s="4" t="n"/>
      <c r="P444" s="4" t="n"/>
      <c r="Q444" s="4" t="n"/>
      <c r="R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>
        <f>MAX(0,G445+H445-I445)</f>
        <v/>
      </c>
      <c r="K445" s="4">
        <f>IFERROR(I445/MAX(1,J445)*30,0)</f>
        <v/>
      </c>
      <c r="L445" s="4" t="n"/>
      <c r="M445" s="4" t="n"/>
      <c r="N445" s="4" t="n"/>
      <c r="O445" s="4" t="n"/>
      <c r="P445" s="4" t="n"/>
      <c r="Q445" s="4" t="n"/>
      <c r="R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>
        <f>MAX(0,G446+H446-I446)</f>
        <v/>
      </c>
      <c r="K446" s="4">
        <f>IFERROR(I446/MAX(1,J446)*30,0)</f>
        <v/>
      </c>
      <c r="L446" s="4" t="n"/>
      <c r="M446" s="4" t="n"/>
      <c r="N446" s="4" t="n"/>
      <c r="O446" s="4" t="n"/>
      <c r="P446" s="4" t="n"/>
      <c r="Q446" s="4" t="n"/>
      <c r="R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>
        <f>MAX(0,G447+H447-I447)</f>
        <v/>
      </c>
      <c r="K447" s="4">
        <f>IFERROR(I447/MAX(1,J447)*30,0)</f>
        <v/>
      </c>
      <c r="L447" s="4" t="n"/>
      <c r="M447" s="4" t="n"/>
      <c r="N447" s="4" t="n"/>
      <c r="O447" s="4" t="n"/>
      <c r="P447" s="4" t="n"/>
      <c r="Q447" s="4" t="n"/>
      <c r="R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>
        <f>MAX(0,G448+H448-I448)</f>
        <v/>
      </c>
      <c r="K448" s="4">
        <f>IFERROR(I448/MAX(1,J448)*30,0)</f>
        <v/>
      </c>
      <c r="L448" s="4" t="n"/>
      <c r="M448" s="4" t="n"/>
      <c r="N448" s="4" t="n"/>
      <c r="O448" s="4" t="n"/>
      <c r="P448" s="4" t="n"/>
      <c r="Q448" s="4" t="n"/>
      <c r="R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>
        <f>MAX(0,G449+H449-I449)</f>
        <v/>
      </c>
      <c r="K449" s="4">
        <f>IFERROR(I449/MAX(1,J449)*30,0)</f>
        <v/>
      </c>
      <c r="L449" s="4" t="n"/>
      <c r="M449" s="4" t="n"/>
      <c r="N449" s="4" t="n"/>
      <c r="O449" s="4" t="n"/>
      <c r="P449" s="4" t="n"/>
      <c r="Q449" s="4" t="n"/>
      <c r="R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>
        <f>MAX(0,G450+H450-I450)</f>
        <v/>
      </c>
      <c r="K450" s="4">
        <f>IFERROR(I450/MAX(1,J450)*30,0)</f>
        <v/>
      </c>
      <c r="L450" s="4" t="n"/>
      <c r="M450" s="4" t="n"/>
      <c r="N450" s="4" t="n"/>
      <c r="O450" s="4" t="n"/>
      <c r="P450" s="4" t="n"/>
      <c r="Q450" s="4" t="n"/>
      <c r="R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>
        <f>MAX(0,G451+H451-I451)</f>
        <v/>
      </c>
      <c r="K451" s="4">
        <f>IFERROR(I451/MAX(1,J451)*30,0)</f>
        <v/>
      </c>
      <c r="L451" s="4" t="n"/>
      <c r="M451" s="4" t="n"/>
      <c r="N451" s="4" t="n"/>
      <c r="O451" s="4" t="n"/>
      <c r="P451" s="4" t="n"/>
      <c r="Q451" s="4" t="n"/>
      <c r="R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>
        <f>MAX(0,G452+H452-I452)</f>
        <v/>
      </c>
      <c r="K452" s="4">
        <f>IFERROR(I452/MAX(1,J452)*30,0)</f>
        <v/>
      </c>
      <c r="L452" s="4" t="n"/>
      <c r="M452" s="4" t="n"/>
      <c r="N452" s="4" t="n"/>
      <c r="O452" s="4" t="n"/>
      <c r="P452" s="4" t="n"/>
      <c r="Q452" s="4" t="n"/>
      <c r="R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>
        <f>MAX(0,G453+H453-I453)</f>
        <v/>
      </c>
      <c r="K453" s="4">
        <f>IFERROR(I453/MAX(1,J453)*30,0)</f>
        <v/>
      </c>
      <c r="L453" s="4" t="n"/>
      <c r="M453" s="4" t="n"/>
      <c r="N453" s="4" t="n"/>
      <c r="O453" s="4" t="n"/>
      <c r="P453" s="4" t="n"/>
      <c r="Q453" s="4" t="n"/>
      <c r="R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>
        <f>MAX(0,G454+H454-I454)</f>
        <v/>
      </c>
      <c r="K454" s="4">
        <f>IFERROR(I454/MAX(1,J454)*30,0)</f>
        <v/>
      </c>
      <c r="L454" s="4" t="n"/>
      <c r="M454" s="4" t="n"/>
      <c r="N454" s="4" t="n"/>
      <c r="O454" s="4" t="n"/>
      <c r="P454" s="4" t="n"/>
      <c r="Q454" s="4" t="n"/>
      <c r="R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>
        <f>MAX(0,G455+H455-I455)</f>
        <v/>
      </c>
      <c r="K455" s="4">
        <f>IFERROR(I455/MAX(1,J455)*30,0)</f>
        <v/>
      </c>
      <c r="L455" s="4" t="n"/>
      <c r="M455" s="4" t="n"/>
      <c r="N455" s="4" t="n"/>
      <c r="O455" s="4" t="n"/>
      <c r="P455" s="4" t="n"/>
      <c r="Q455" s="4" t="n"/>
      <c r="R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>
        <f>MAX(0,G456+H456-I456)</f>
        <v/>
      </c>
      <c r="K456" s="4">
        <f>IFERROR(I456/MAX(1,J456)*30,0)</f>
        <v/>
      </c>
      <c r="L456" s="4" t="n"/>
      <c r="M456" s="4" t="n"/>
      <c r="N456" s="4" t="n"/>
      <c r="O456" s="4" t="n"/>
      <c r="P456" s="4" t="n"/>
      <c r="Q456" s="4" t="n"/>
      <c r="R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>
        <f>MAX(0,G457+H457-I457)</f>
        <v/>
      </c>
      <c r="K457" s="4">
        <f>IFERROR(I457/MAX(1,J457)*30,0)</f>
        <v/>
      </c>
      <c r="L457" s="4" t="n"/>
      <c r="M457" s="4" t="n"/>
      <c r="N457" s="4" t="n"/>
      <c r="O457" s="4" t="n"/>
      <c r="P457" s="4" t="n"/>
      <c r="Q457" s="4" t="n"/>
      <c r="R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>
        <f>MAX(0,G458+H458-I458)</f>
        <v/>
      </c>
      <c r="K458" s="4">
        <f>IFERROR(I458/MAX(1,J458)*30,0)</f>
        <v/>
      </c>
      <c r="L458" s="4" t="n"/>
      <c r="M458" s="4" t="n"/>
      <c r="N458" s="4" t="n"/>
      <c r="O458" s="4" t="n"/>
      <c r="P458" s="4" t="n"/>
      <c r="Q458" s="4" t="n"/>
      <c r="R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>
        <f>MAX(0,G459+H459-I459)</f>
        <v/>
      </c>
      <c r="K459" s="4">
        <f>IFERROR(I459/MAX(1,J459)*30,0)</f>
        <v/>
      </c>
      <c r="L459" s="4" t="n"/>
      <c r="M459" s="4" t="n"/>
      <c r="N459" s="4" t="n"/>
      <c r="O459" s="4" t="n"/>
      <c r="P459" s="4" t="n"/>
      <c r="Q459" s="4" t="n"/>
      <c r="R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>
        <f>MAX(0,G460+H460-I460)</f>
        <v/>
      </c>
      <c r="K460" s="4">
        <f>IFERROR(I460/MAX(1,J460)*30,0)</f>
        <v/>
      </c>
      <c r="L460" s="4" t="n"/>
      <c r="M460" s="4" t="n"/>
      <c r="N460" s="4" t="n"/>
      <c r="O460" s="4" t="n"/>
      <c r="P460" s="4" t="n"/>
      <c r="Q460" s="4" t="n"/>
      <c r="R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>
        <f>MAX(0,G461+H461-I461)</f>
        <v/>
      </c>
      <c r="K461" s="4">
        <f>IFERROR(I461/MAX(1,J461)*30,0)</f>
        <v/>
      </c>
      <c r="L461" s="4" t="n"/>
      <c r="M461" s="4" t="n"/>
      <c r="N461" s="4" t="n"/>
      <c r="O461" s="4" t="n"/>
      <c r="P461" s="4" t="n"/>
      <c r="Q461" s="4" t="n"/>
      <c r="R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>
        <f>MAX(0,G462+H462-I462)</f>
        <v/>
      </c>
      <c r="K462" s="4">
        <f>IFERROR(I462/MAX(1,J462)*30,0)</f>
        <v/>
      </c>
      <c r="L462" s="4" t="n"/>
      <c r="M462" s="4" t="n"/>
      <c r="N462" s="4" t="n"/>
      <c r="O462" s="4" t="n"/>
      <c r="P462" s="4" t="n"/>
      <c r="Q462" s="4" t="n"/>
      <c r="R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>
        <f>MAX(0,G463+H463-I463)</f>
        <v/>
      </c>
      <c r="K463" s="4">
        <f>IFERROR(I463/MAX(1,J463)*30,0)</f>
        <v/>
      </c>
      <c r="L463" s="4" t="n"/>
      <c r="M463" s="4" t="n"/>
      <c r="N463" s="4" t="n"/>
      <c r="O463" s="4" t="n"/>
      <c r="P463" s="4" t="n"/>
      <c r="Q463" s="4" t="n"/>
      <c r="R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>
        <f>MAX(0,G464+H464-I464)</f>
        <v/>
      </c>
      <c r="K464" s="4">
        <f>IFERROR(I464/MAX(1,J464)*30,0)</f>
        <v/>
      </c>
      <c r="L464" s="4" t="n"/>
      <c r="M464" s="4" t="n"/>
      <c r="N464" s="4" t="n"/>
      <c r="O464" s="4" t="n"/>
      <c r="P464" s="4" t="n"/>
      <c r="Q464" s="4" t="n"/>
      <c r="R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>
        <f>MAX(0,G465+H465-I465)</f>
        <v/>
      </c>
      <c r="K465" s="4">
        <f>IFERROR(I465/MAX(1,J465)*30,0)</f>
        <v/>
      </c>
      <c r="L465" s="4" t="n"/>
      <c r="M465" s="4" t="n"/>
      <c r="N465" s="4" t="n"/>
      <c r="O465" s="4" t="n"/>
      <c r="P465" s="4" t="n"/>
      <c r="Q465" s="4" t="n"/>
      <c r="R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>
        <f>MAX(0,G466+H466-I466)</f>
        <v/>
      </c>
      <c r="K466" s="4">
        <f>IFERROR(I466/MAX(1,J466)*30,0)</f>
        <v/>
      </c>
      <c r="L466" s="4" t="n"/>
      <c r="M466" s="4" t="n"/>
      <c r="N466" s="4" t="n"/>
      <c r="O466" s="4" t="n"/>
      <c r="P466" s="4" t="n"/>
      <c r="Q466" s="4" t="n"/>
      <c r="R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>
        <f>MAX(0,G467+H467-I467)</f>
        <v/>
      </c>
      <c r="K467" s="4">
        <f>IFERROR(I467/MAX(1,J467)*30,0)</f>
        <v/>
      </c>
      <c r="L467" s="4" t="n"/>
      <c r="M467" s="4" t="n"/>
      <c r="N467" s="4" t="n"/>
      <c r="O467" s="4" t="n"/>
      <c r="P467" s="4" t="n"/>
      <c r="Q467" s="4" t="n"/>
      <c r="R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>
        <f>MAX(0,G468+H468-I468)</f>
        <v/>
      </c>
      <c r="K468" s="4">
        <f>IFERROR(I468/MAX(1,J468)*30,0)</f>
        <v/>
      </c>
      <c r="L468" s="4" t="n"/>
      <c r="M468" s="4" t="n"/>
      <c r="N468" s="4" t="n"/>
      <c r="O468" s="4" t="n"/>
      <c r="P468" s="4" t="n"/>
      <c r="Q468" s="4" t="n"/>
      <c r="R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>
        <f>MAX(0,G469+H469-I469)</f>
        <v/>
      </c>
      <c r="K469" s="4">
        <f>IFERROR(I469/MAX(1,J469)*30,0)</f>
        <v/>
      </c>
      <c r="L469" s="4" t="n"/>
      <c r="M469" s="4" t="n"/>
      <c r="N469" s="4" t="n"/>
      <c r="O469" s="4" t="n"/>
      <c r="P469" s="4" t="n"/>
      <c r="Q469" s="4" t="n"/>
      <c r="R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>
        <f>MAX(0,G470+H470-I470)</f>
        <v/>
      </c>
      <c r="K470" s="4">
        <f>IFERROR(I470/MAX(1,J470)*30,0)</f>
        <v/>
      </c>
      <c r="L470" s="4" t="n"/>
      <c r="M470" s="4" t="n"/>
      <c r="N470" s="4" t="n"/>
      <c r="O470" s="4" t="n"/>
      <c r="P470" s="4" t="n"/>
      <c r="Q470" s="4" t="n"/>
      <c r="R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>
        <f>MAX(0,G471+H471-I471)</f>
        <v/>
      </c>
      <c r="K471" s="4">
        <f>IFERROR(I471/MAX(1,J471)*30,0)</f>
        <v/>
      </c>
      <c r="L471" s="4" t="n"/>
      <c r="M471" s="4" t="n"/>
      <c r="N471" s="4" t="n"/>
      <c r="O471" s="4" t="n"/>
      <c r="P471" s="4" t="n"/>
      <c r="Q471" s="4" t="n"/>
      <c r="R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>
        <f>MAX(0,G472+H472-I472)</f>
        <v/>
      </c>
      <c r="K472" s="4">
        <f>IFERROR(I472/MAX(1,J472)*30,0)</f>
        <v/>
      </c>
      <c r="L472" s="4" t="n"/>
      <c r="M472" s="4" t="n"/>
      <c r="N472" s="4" t="n"/>
      <c r="O472" s="4" t="n"/>
      <c r="P472" s="4" t="n"/>
      <c r="Q472" s="4" t="n"/>
      <c r="R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>
        <f>MAX(0,G473+H473-I473)</f>
        <v/>
      </c>
      <c r="K473" s="4">
        <f>IFERROR(I473/MAX(1,J473)*30,0)</f>
        <v/>
      </c>
      <c r="L473" s="4" t="n"/>
      <c r="M473" s="4" t="n"/>
      <c r="N473" s="4" t="n"/>
      <c r="O473" s="4" t="n"/>
      <c r="P473" s="4" t="n"/>
      <c r="Q473" s="4" t="n"/>
      <c r="R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>
        <f>MAX(0,G474+H474-I474)</f>
        <v/>
      </c>
      <c r="K474" s="4">
        <f>IFERROR(I474/MAX(1,J474)*30,0)</f>
        <v/>
      </c>
      <c r="L474" s="4" t="n"/>
      <c r="M474" s="4" t="n"/>
      <c r="N474" s="4" t="n"/>
      <c r="O474" s="4" t="n"/>
      <c r="P474" s="4" t="n"/>
      <c r="Q474" s="4" t="n"/>
      <c r="R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>
        <f>MAX(0,G475+H475-I475)</f>
        <v/>
      </c>
      <c r="K475" s="4">
        <f>IFERROR(I475/MAX(1,J475)*30,0)</f>
        <v/>
      </c>
      <c r="L475" s="4" t="n"/>
      <c r="M475" s="4" t="n"/>
      <c r="N475" s="4" t="n"/>
      <c r="O475" s="4" t="n"/>
      <c r="P475" s="4" t="n"/>
      <c r="Q475" s="4" t="n"/>
      <c r="R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>
        <f>MAX(0,G476+H476-I476)</f>
        <v/>
      </c>
      <c r="K476" s="4">
        <f>IFERROR(I476/MAX(1,J476)*30,0)</f>
        <v/>
      </c>
      <c r="L476" s="4" t="n"/>
      <c r="M476" s="4" t="n"/>
      <c r="N476" s="4" t="n"/>
      <c r="O476" s="4" t="n"/>
      <c r="P476" s="4" t="n"/>
      <c r="Q476" s="4" t="n"/>
      <c r="R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>
        <f>MAX(0,G477+H477-I477)</f>
        <v/>
      </c>
      <c r="K477" s="4">
        <f>IFERROR(I477/MAX(1,J477)*30,0)</f>
        <v/>
      </c>
      <c r="L477" s="4" t="n"/>
      <c r="M477" s="4" t="n"/>
      <c r="N477" s="4" t="n"/>
      <c r="O477" s="4" t="n"/>
      <c r="P477" s="4" t="n"/>
      <c r="Q477" s="4" t="n"/>
      <c r="R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>
        <f>MAX(0,G478+H478-I478)</f>
        <v/>
      </c>
      <c r="K478" s="4">
        <f>IFERROR(I478/MAX(1,J478)*30,0)</f>
        <v/>
      </c>
      <c r="L478" s="4" t="n"/>
      <c r="M478" s="4" t="n"/>
      <c r="N478" s="4" t="n"/>
      <c r="O478" s="4" t="n"/>
      <c r="P478" s="4" t="n"/>
      <c r="Q478" s="4" t="n"/>
      <c r="R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>
        <f>MAX(0,G479+H479-I479)</f>
        <v/>
      </c>
      <c r="K479" s="4">
        <f>IFERROR(I479/MAX(1,J479)*30,0)</f>
        <v/>
      </c>
      <c r="L479" s="4" t="n"/>
      <c r="M479" s="4" t="n"/>
      <c r="N479" s="4" t="n"/>
      <c r="O479" s="4" t="n"/>
      <c r="P479" s="4" t="n"/>
      <c r="Q479" s="4" t="n"/>
      <c r="R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>
        <f>MAX(0,G480+H480-I480)</f>
        <v/>
      </c>
      <c r="K480" s="4">
        <f>IFERROR(I480/MAX(1,J480)*30,0)</f>
        <v/>
      </c>
      <c r="L480" s="4" t="n"/>
      <c r="M480" s="4" t="n"/>
      <c r="N480" s="4" t="n"/>
      <c r="O480" s="4" t="n"/>
      <c r="P480" s="4" t="n"/>
      <c r="Q480" s="4" t="n"/>
      <c r="R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>
        <f>MAX(0,G481+H481-I481)</f>
        <v/>
      </c>
      <c r="K481" s="4">
        <f>IFERROR(I481/MAX(1,J481)*30,0)</f>
        <v/>
      </c>
      <c r="L481" s="4" t="n"/>
      <c r="M481" s="4" t="n"/>
      <c r="N481" s="4" t="n"/>
      <c r="O481" s="4" t="n"/>
      <c r="P481" s="4" t="n"/>
      <c r="Q481" s="4" t="n"/>
      <c r="R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>
        <f>MAX(0,G482+H482-I482)</f>
        <v/>
      </c>
      <c r="K482" s="4">
        <f>IFERROR(I482/MAX(1,J482)*30,0)</f>
        <v/>
      </c>
      <c r="L482" s="4" t="n"/>
      <c r="M482" s="4" t="n"/>
      <c r="N482" s="4" t="n"/>
      <c r="O482" s="4" t="n"/>
      <c r="P482" s="4" t="n"/>
      <c r="Q482" s="4" t="n"/>
      <c r="R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>
        <f>MAX(0,G483+H483-I483)</f>
        <v/>
      </c>
      <c r="K483" s="4">
        <f>IFERROR(I483/MAX(1,J483)*30,0)</f>
        <v/>
      </c>
      <c r="L483" s="4" t="n"/>
      <c r="M483" s="4" t="n"/>
      <c r="N483" s="4" t="n"/>
      <c r="O483" s="4" t="n"/>
      <c r="P483" s="4" t="n"/>
      <c r="Q483" s="4" t="n"/>
      <c r="R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>
        <f>MAX(0,G484+H484-I484)</f>
        <v/>
      </c>
      <c r="K484" s="4">
        <f>IFERROR(I484/MAX(1,J484)*30,0)</f>
        <v/>
      </c>
      <c r="L484" s="4" t="n"/>
      <c r="M484" s="4" t="n"/>
      <c r="N484" s="4" t="n"/>
      <c r="O484" s="4" t="n"/>
      <c r="P484" s="4" t="n"/>
      <c r="Q484" s="4" t="n"/>
      <c r="R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>
        <f>MAX(0,G485+H485-I485)</f>
        <v/>
      </c>
      <c r="K485" s="4">
        <f>IFERROR(I485/MAX(1,J485)*30,0)</f>
        <v/>
      </c>
      <c r="L485" s="4" t="n"/>
      <c r="M485" s="4" t="n"/>
      <c r="N485" s="4" t="n"/>
      <c r="O485" s="4" t="n"/>
      <c r="P485" s="4" t="n"/>
      <c r="Q485" s="4" t="n"/>
      <c r="R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>
        <f>MAX(0,G486+H486-I486)</f>
        <v/>
      </c>
      <c r="K486" s="4">
        <f>IFERROR(I486/MAX(1,J486)*30,0)</f>
        <v/>
      </c>
      <c r="L486" s="4" t="n"/>
      <c r="M486" s="4" t="n"/>
      <c r="N486" s="4" t="n"/>
      <c r="O486" s="4" t="n"/>
      <c r="P486" s="4" t="n"/>
      <c r="Q486" s="4" t="n"/>
      <c r="R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>
        <f>MAX(0,G487+H487-I487)</f>
        <v/>
      </c>
      <c r="K487" s="4">
        <f>IFERROR(I487/MAX(1,J487)*30,0)</f>
        <v/>
      </c>
      <c r="L487" s="4" t="n"/>
      <c r="M487" s="4" t="n"/>
      <c r="N487" s="4" t="n"/>
      <c r="O487" s="4" t="n"/>
      <c r="P487" s="4" t="n"/>
      <c r="Q487" s="4" t="n"/>
      <c r="R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>
        <f>MAX(0,G488+H488-I488)</f>
        <v/>
      </c>
      <c r="K488" s="4">
        <f>IFERROR(I488/MAX(1,J488)*30,0)</f>
        <v/>
      </c>
      <c r="L488" s="4" t="n"/>
      <c r="M488" s="4" t="n"/>
      <c r="N488" s="4" t="n"/>
      <c r="O488" s="4" t="n"/>
      <c r="P488" s="4" t="n"/>
      <c r="Q488" s="4" t="n"/>
      <c r="R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>
        <f>MAX(0,G489+H489-I489)</f>
        <v/>
      </c>
      <c r="K489" s="4">
        <f>IFERROR(I489/MAX(1,J489)*30,0)</f>
        <v/>
      </c>
      <c r="L489" s="4" t="n"/>
      <c r="M489" s="4" t="n"/>
      <c r="N489" s="4" t="n"/>
      <c r="O489" s="4" t="n"/>
      <c r="P489" s="4" t="n"/>
      <c r="Q489" s="4" t="n"/>
      <c r="R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>
        <f>MAX(0,G490+H490-I490)</f>
        <v/>
      </c>
      <c r="K490" s="4">
        <f>IFERROR(I490/MAX(1,J490)*30,0)</f>
        <v/>
      </c>
      <c r="L490" s="4" t="n"/>
      <c r="M490" s="4" t="n"/>
      <c r="N490" s="4" t="n"/>
      <c r="O490" s="4" t="n"/>
      <c r="P490" s="4" t="n"/>
      <c r="Q490" s="4" t="n"/>
      <c r="R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>
        <f>MAX(0,G491+H491-I491)</f>
        <v/>
      </c>
      <c r="K491" s="4">
        <f>IFERROR(I491/MAX(1,J491)*30,0)</f>
        <v/>
      </c>
      <c r="L491" s="4" t="n"/>
      <c r="M491" s="4" t="n"/>
      <c r="N491" s="4" t="n"/>
      <c r="O491" s="4" t="n"/>
      <c r="P491" s="4" t="n"/>
      <c r="Q491" s="4" t="n"/>
      <c r="R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>
        <f>MAX(0,G492+H492-I492)</f>
        <v/>
      </c>
      <c r="K492" s="4">
        <f>IFERROR(I492/MAX(1,J492)*30,0)</f>
        <v/>
      </c>
      <c r="L492" s="4" t="n"/>
      <c r="M492" s="4" t="n"/>
      <c r="N492" s="4" t="n"/>
      <c r="O492" s="4" t="n"/>
      <c r="P492" s="4" t="n"/>
      <c r="Q492" s="4" t="n"/>
      <c r="R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>
        <f>MAX(0,G493+H493-I493)</f>
        <v/>
      </c>
      <c r="K493" s="4">
        <f>IFERROR(I493/MAX(1,J493)*30,0)</f>
        <v/>
      </c>
      <c r="L493" s="4" t="n"/>
      <c r="M493" s="4" t="n"/>
      <c r="N493" s="4" t="n"/>
      <c r="O493" s="4" t="n"/>
      <c r="P493" s="4" t="n"/>
      <c r="Q493" s="4" t="n"/>
      <c r="R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>
        <f>MAX(0,G494+H494-I494)</f>
        <v/>
      </c>
      <c r="K494" s="4">
        <f>IFERROR(I494/MAX(1,J494)*30,0)</f>
        <v/>
      </c>
      <c r="L494" s="4" t="n"/>
      <c r="M494" s="4" t="n"/>
      <c r="N494" s="4" t="n"/>
      <c r="O494" s="4" t="n"/>
      <c r="P494" s="4" t="n"/>
      <c r="Q494" s="4" t="n"/>
      <c r="R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>
        <f>MAX(0,G495+H495-I495)</f>
        <v/>
      </c>
      <c r="K495" s="4">
        <f>IFERROR(I495/MAX(1,J495)*30,0)</f>
        <v/>
      </c>
      <c r="L495" s="4" t="n"/>
      <c r="M495" s="4" t="n"/>
      <c r="N495" s="4" t="n"/>
      <c r="O495" s="4" t="n"/>
      <c r="P495" s="4" t="n"/>
      <c r="Q495" s="4" t="n"/>
      <c r="R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>
        <f>MAX(0,G496+H496-I496)</f>
        <v/>
      </c>
      <c r="K496" s="4">
        <f>IFERROR(I496/MAX(1,J496)*30,0)</f>
        <v/>
      </c>
      <c r="L496" s="4" t="n"/>
      <c r="M496" s="4" t="n"/>
      <c r="N496" s="4" t="n"/>
      <c r="O496" s="4" t="n"/>
      <c r="P496" s="4" t="n"/>
      <c r="Q496" s="4" t="n"/>
      <c r="R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>
        <f>MAX(0,G497+H497-I497)</f>
        <v/>
      </c>
      <c r="K497" s="4">
        <f>IFERROR(I497/MAX(1,J497)*30,0)</f>
        <v/>
      </c>
      <c r="L497" s="4" t="n"/>
      <c r="M497" s="4" t="n"/>
      <c r="N497" s="4" t="n"/>
      <c r="O497" s="4" t="n"/>
      <c r="P497" s="4" t="n"/>
      <c r="Q497" s="4" t="n"/>
      <c r="R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>
        <f>MAX(0,G498+H498-I498)</f>
        <v/>
      </c>
      <c r="K498" s="4">
        <f>IFERROR(I498/MAX(1,J498)*30,0)</f>
        <v/>
      </c>
      <c r="L498" s="4" t="n"/>
      <c r="M498" s="4" t="n"/>
      <c r="N498" s="4" t="n"/>
      <c r="O498" s="4" t="n"/>
      <c r="P498" s="4" t="n"/>
      <c r="Q498" s="4" t="n"/>
      <c r="R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>
        <f>MAX(0,G499+H499-I499)</f>
        <v/>
      </c>
      <c r="K499" s="4">
        <f>IFERROR(I499/MAX(1,J499)*30,0)</f>
        <v/>
      </c>
      <c r="L499" s="4" t="n"/>
      <c r="M499" s="4" t="n"/>
      <c r="N499" s="4" t="n"/>
      <c r="O499" s="4" t="n"/>
      <c r="P499" s="4" t="n"/>
      <c r="Q499" s="4" t="n"/>
      <c r="R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>
        <f>MAX(0,G500+H500-I500)</f>
        <v/>
      </c>
      <c r="K500" s="4">
        <f>IFERROR(I500/MAX(1,J500)*30,0)</f>
        <v/>
      </c>
      <c r="L500" s="4" t="n"/>
      <c r="M500" s="4" t="n"/>
      <c r="N500" s="4" t="n"/>
      <c r="O500" s="4" t="n"/>
      <c r="P500" s="4" t="n"/>
      <c r="Q500" s="4" t="n"/>
      <c r="R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>
        <f>MAX(0,G501+H501-I501)</f>
        <v/>
      </c>
      <c r="K501" s="4">
        <f>IFERROR(I501/MAX(1,J501)*30,0)</f>
        <v/>
      </c>
      <c r="L501" s="4" t="n"/>
      <c r="M501" s="4" t="n"/>
      <c r="N501" s="4" t="n"/>
      <c r="O501" s="4" t="n"/>
      <c r="P501" s="4" t="n"/>
      <c r="Q501" s="4" t="n"/>
      <c r="R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>
        <f>MAX(0,G502+H502-I502)</f>
        <v/>
      </c>
      <c r="K502" s="4">
        <f>IFERROR(I502/MAX(1,J502)*30,0)</f>
        <v/>
      </c>
      <c r="L502" s="4" t="n"/>
      <c r="M502" s="4" t="n"/>
      <c r="N502" s="4" t="n"/>
      <c r="O502" s="4" t="n"/>
      <c r="P502" s="4" t="n"/>
      <c r="Q502" s="4" t="n"/>
      <c r="R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>
        <f>MAX(0,G503+H503-I503)</f>
        <v/>
      </c>
      <c r="K503" s="4">
        <f>IFERROR(I503/MAX(1,J503)*30,0)</f>
        <v/>
      </c>
      <c r="L503" s="4" t="n"/>
      <c r="M503" s="4" t="n"/>
      <c r="N503" s="4" t="n"/>
      <c r="O503" s="4" t="n"/>
      <c r="P503" s="4" t="n"/>
      <c r="Q503" s="4" t="n"/>
      <c r="R503" s="4" t="n"/>
    </row>
  </sheetData>
  <autoFilter ref="A3:R503"/>
  <mergeCells count="1">
    <mergeCell ref="A1:R1"/>
  </mergeCells>
  <dataValidations count="1">
    <dataValidation sqref="L4:L503" showDropDown="0" showInputMessage="0" showErrorMessage="0" allowBlank="0" type="list">
      <formula1>"Có,Chưa"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  <col width="15" customWidth="1" min="5" max="5"/>
    <col width="12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32" customWidth="1" min="14" max="14"/>
  </cols>
  <sheetData>
    <row r="1" ht="28" customHeight="1">
      <c r="A1" s="1" t="inlineStr">
        <is>
          <t>05 – NPP SCORECARD | CHẤM ĐIỂM NĂNG LỰC NPP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NPP</t>
        </is>
      </c>
      <c r="B3" s="3" t="inlineStr">
        <is>
          <t>Kỳ</t>
        </is>
      </c>
      <c r="C3" s="3" t="inlineStr">
        <is>
          <t>Coverage /20</t>
        </is>
      </c>
      <c r="D3" s="3" t="inlineStr">
        <is>
          <t>Sales Growth /20</t>
        </is>
      </c>
      <c r="E3" s="3" t="inlineStr">
        <is>
          <t>Sell-out /15</t>
        </is>
      </c>
      <c r="F3" s="3" t="inlineStr">
        <is>
          <t>SKU /10</t>
        </is>
      </c>
      <c r="G3" s="3" t="inlineStr">
        <is>
          <t>Frequency /10</t>
        </is>
      </c>
      <c r="H3" s="3" t="inlineStr">
        <is>
          <t>Sales Force /10</t>
        </is>
      </c>
      <c r="I3" s="3" t="inlineStr">
        <is>
          <t>Inventory /5</t>
        </is>
      </c>
      <c r="J3" s="3" t="inlineStr">
        <is>
          <t>Phối hợp /5</t>
        </is>
      </c>
      <c r="K3" s="3" t="inlineStr">
        <is>
          <t>Growth /5</t>
        </is>
      </c>
      <c r="L3" s="3" t="inlineStr">
        <is>
          <t>Tổng</t>
        </is>
      </c>
      <c r="M3" s="3" t="inlineStr">
        <is>
          <t>Phân loại</t>
        </is>
      </c>
      <c r="N3" s="3" t="inlineStr">
        <is>
          <t>Ưu tiên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>
        <f>SUM(C4:K4)</f>
        <v/>
      </c>
      <c r="M4" s="4">
        <f>IF(L4&gt;=80,"A – Growth Partner",IF(L4&gt;=65,"B – Develop",IF(L4&gt;=50,"C – Correct","D – Restructure")))</f>
        <v/>
      </c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>
        <f>SUM(C5:K5)</f>
        <v/>
      </c>
      <c r="M5" s="4">
        <f>IF(L5&gt;=80,"A – Growth Partner",IF(L5&gt;=65,"B – Develop",IF(L5&gt;=50,"C – Correct","D – Restructure")))</f>
        <v/>
      </c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>
        <f>SUM(C6:K6)</f>
        <v/>
      </c>
      <c r="M6" s="4">
        <f>IF(L6&gt;=80,"A – Growth Partner",IF(L6&gt;=65,"B – Develop",IF(L6&gt;=50,"C – Correct","D – Restructure")))</f>
        <v/>
      </c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>
        <f>SUM(C7:K7)</f>
        <v/>
      </c>
      <c r="M7" s="4">
        <f>IF(L7&gt;=80,"A – Growth Partner",IF(L7&gt;=65,"B – Develop",IF(L7&gt;=50,"C – Correct","D – Restructure")))</f>
        <v/>
      </c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>
        <f>SUM(C8:K8)</f>
        <v/>
      </c>
      <c r="M8" s="4">
        <f>IF(L8&gt;=80,"A – Growth Partner",IF(L8&gt;=65,"B – Develop",IF(L8&gt;=50,"C – Correct","D – Restructure")))</f>
        <v/>
      </c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>
        <f>SUM(C9:K9)</f>
        <v/>
      </c>
      <c r="M9" s="4">
        <f>IF(L9&gt;=80,"A – Growth Partner",IF(L9&gt;=65,"B – Develop",IF(L9&gt;=50,"C – Correct","D – Restructure")))</f>
        <v/>
      </c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>
        <f>SUM(C10:K10)</f>
        <v/>
      </c>
      <c r="M10" s="4">
        <f>IF(L10&gt;=80,"A – Growth Partner",IF(L10&gt;=65,"B – Develop",IF(L10&gt;=50,"C – Correct","D – Restructure")))</f>
        <v/>
      </c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>
        <f>SUM(C11:K11)</f>
        <v/>
      </c>
      <c r="M11" s="4">
        <f>IF(L11&gt;=80,"A – Growth Partner",IF(L11&gt;=65,"B – Develop",IF(L11&gt;=50,"C – Correct","D – Restructure")))</f>
        <v/>
      </c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>
        <f>SUM(C12:K12)</f>
        <v/>
      </c>
      <c r="M12" s="4">
        <f>IF(L12&gt;=80,"A – Growth Partner",IF(L12&gt;=65,"B – Develop",IF(L12&gt;=50,"C – Correct","D – Restructure")))</f>
        <v/>
      </c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>
        <f>SUM(C13:K13)</f>
        <v/>
      </c>
      <c r="M13" s="4">
        <f>IF(L13&gt;=80,"A – Growth Partner",IF(L13&gt;=65,"B – Develop",IF(L13&gt;=50,"C – Correct","D – Restructure")))</f>
        <v/>
      </c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>
        <f>SUM(C14:K14)</f>
        <v/>
      </c>
      <c r="M14" s="4">
        <f>IF(L14&gt;=80,"A – Growth Partner",IF(L14&gt;=65,"B – Develop",IF(L14&gt;=50,"C – Correct","D – Restructure")))</f>
        <v/>
      </c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>
        <f>SUM(C15:K15)</f>
        <v/>
      </c>
      <c r="M15" s="4">
        <f>IF(L15&gt;=80,"A – Growth Partner",IF(L15&gt;=65,"B – Develop",IF(L15&gt;=50,"C – Correct","D – Restructure")))</f>
        <v/>
      </c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>
        <f>SUM(C16:K16)</f>
        <v/>
      </c>
      <c r="M16" s="4">
        <f>IF(L16&gt;=80,"A – Growth Partner",IF(L16&gt;=65,"B – Develop",IF(L16&gt;=50,"C – Correct","D – Restructure")))</f>
        <v/>
      </c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>
        <f>SUM(C17:K17)</f>
        <v/>
      </c>
      <c r="M17" s="4">
        <f>IF(L17&gt;=80,"A – Growth Partner",IF(L17&gt;=65,"B – Develop",IF(L17&gt;=50,"C – Correct","D – Restructure")))</f>
        <v/>
      </c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>
        <f>SUM(C18:K18)</f>
        <v/>
      </c>
      <c r="M18" s="4">
        <f>IF(L18&gt;=80,"A – Growth Partner",IF(L18&gt;=65,"B – Develop",IF(L18&gt;=50,"C – Correct","D – Restructure")))</f>
        <v/>
      </c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>
        <f>SUM(C19:K19)</f>
        <v/>
      </c>
      <c r="M19" s="4">
        <f>IF(L19&gt;=80,"A – Growth Partner",IF(L19&gt;=65,"B – Develop",IF(L19&gt;=50,"C – Correct","D – Restructure")))</f>
        <v/>
      </c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>
        <f>SUM(C20:K20)</f>
        <v/>
      </c>
      <c r="M20" s="4">
        <f>IF(L20&gt;=80,"A – Growth Partner",IF(L20&gt;=65,"B – Develop",IF(L20&gt;=50,"C – Correct","D – Restructure")))</f>
        <v/>
      </c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>
        <f>SUM(C21:K21)</f>
        <v/>
      </c>
      <c r="M21" s="4">
        <f>IF(L21&gt;=80,"A – Growth Partner",IF(L21&gt;=65,"B – Develop",IF(L21&gt;=50,"C – Correct","D – Restructure")))</f>
        <v/>
      </c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>
        <f>SUM(C22:K22)</f>
        <v/>
      </c>
      <c r="M22" s="4">
        <f>IF(L22&gt;=80,"A – Growth Partner",IF(L22&gt;=65,"B – Develop",IF(L22&gt;=50,"C – Correct","D – Restructure")))</f>
        <v/>
      </c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>
        <f>SUM(C23:K23)</f>
        <v/>
      </c>
      <c r="M23" s="4">
        <f>IF(L23&gt;=80,"A – Growth Partner",IF(L23&gt;=65,"B – Develop",IF(L23&gt;=50,"C – Correct","D – Restructure")))</f>
        <v/>
      </c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>
        <f>SUM(C24:K24)</f>
        <v/>
      </c>
      <c r="M24" s="4">
        <f>IF(L24&gt;=80,"A – Growth Partner",IF(L24&gt;=65,"B – Develop",IF(L24&gt;=50,"C – Correct","D – Restructure")))</f>
        <v/>
      </c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>
        <f>SUM(C25:K25)</f>
        <v/>
      </c>
      <c r="M25" s="4">
        <f>IF(L25&gt;=80,"A – Growth Partner",IF(L25&gt;=65,"B – Develop",IF(L25&gt;=50,"C – Correct","D – Restructure")))</f>
        <v/>
      </c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>
        <f>SUM(C26:K26)</f>
        <v/>
      </c>
      <c r="M26" s="4">
        <f>IF(L26&gt;=80,"A – Growth Partner",IF(L26&gt;=65,"B – Develop",IF(L26&gt;=50,"C – Correct","D – Restructure")))</f>
        <v/>
      </c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>
        <f>SUM(C27:K27)</f>
        <v/>
      </c>
      <c r="M27" s="4">
        <f>IF(L27&gt;=80,"A – Growth Partner",IF(L27&gt;=65,"B – Develop",IF(L27&gt;=50,"C – Correct","D – Restructure")))</f>
        <v/>
      </c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>
        <f>SUM(C28:K28)</f>
        <v/>
      </c>
      <c r="M28" s="4">
        <f>IF(L28&gt;=80,"A – Growth Partner",IF(L28&gt;=65,"B – Develop",IF(L28&gt;=50,"C – Correct","D – Restructure")))</f>
        <v/>
      </c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>
        <f>SUM(C29:K29)</f>
        <v/>
      </c>
      <c r="M29" s="4">
        <f>IF(L29&gt;=80,"A – Growth Partner",IF(L29&gt;=65,"B – Develop",IF(L29&gt;=50,"C – Correct","D – Restructure")))</f>
        <v/>
      </c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>
        <f>SUM(C30:K30)</f>
        <v/>
      </c>
      <c r="M30" s="4">
        <f>IF(L30&gt;=80,"A – Growth Partner",IF(L30&gt;=65,"B – Develop",IF(L30&gt;=50,"C – Correct","D – Restructure")))</f>
        <v/>
      </c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>
        <f>SUM(C31:K31)</f>
        <v/>
      </c>
      <c r="M31" s="4">
        <f>IF(L31&gt;=80,"A – Growth Partner",IF(L31&gt;=65,"B – Develop",IF(L31&gt;=50,"C – Correct","D – Restructure")))</f>
        <v/>
      </c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>
        <f>SUM(C32:K32)</f>
        <v/>
      </c>
      <c r="M32" s="4">
        <f>IF(L32&gt;=80,"A – Growth Partner",IF(L32&gt;=65,"B – Develop",IF(L32&gt;=50,"C – Correct","D – Restructure")))</f>
        <v/>
      </c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>
        <f>SUM(C33:K33)</f>
        <v/>
      </c>
      <c r="M33" s="4">
        <f>IF(L33&gt;=80,"A – Growth Partner",IF(L33&gt;=65,"B – Develop",IF(L33&gt;=50,"C – Correct","D – Restructure")))</f>
        <v/>
      </c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>
        <f>SUM(C34:K34)</f>
        <v/>
      </c>
      <c r="M34" s="4">
        <f>IF(L34&gt;=80,"A – Growth Partner",IF(L34&gt;=65,"B – Develop",IF(L34&gt;=50,"C – Correct","D – Restructure")))</f>
        <v/>
      </c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>
        <f>SUM(C35:K35)</f>
        <v/>
      </c>
      <c r="M35" s="4">
        <f>IF(L35&gt;=80,"A – Growth Partner",IF(L35&gt;=65,"B – Develop",IF(L35&gt;=50,"C – Correct","D – Restructure")))</f>
        <v/>
      </c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>
        <f>SUM(C36:K36)</f>
        <v/>
      </c>
      <c r="M36" s="4">
        <f>IF(L36&gt;=80,"A – Growth Partner",IF(L36&gt;=65,"B – Develop",IF(L36&gt;=50,"C – Correct","D – Restructure")))</f>
        <v/>
      </c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>
        <f>SUM(C37:K37)</f>
        <v/>
      </c>
      <c r="M37" s="4">
        <f>IF(L37&gt;=80,"A – Growth Partner",IF(L37&gt;=65,"B – Develop",IF(L37&gt;=50,"C – Correct","D – Restructure")))</f>
        <v/>
      </c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>
        <f>SUM(C38:K38)</f>
        <v/>
      </c>
      <c r="M38" s="4">
        <f>IF(L38&gt;=80,"A – Growth Partner",IF(L38&gt;=65,"B – Develop",IF(L38&gt;=50,"C – Correct","D – Restructure")))</f>
        <v/>
      </c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>
        <f>SUM(C39:K39)</f>
        <v/>
      </c>
      <c r="M39" s="4">
        <f>IF(L39&gt;=80,"A – Growth Partner",IF(L39&gt;=65,"B – Develop",IF(L39&gt;=50,"C – Correct","D – Restructure")))</f>
        <v/>
      </c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>
        <f>SUM(C40:K40)</f>
        <v/>
      </c>
      <c r="M40" s="4">
        <f>IF(L40&gt;=80,"A – Growth Partner",IF(L40&gt;=65,"B – Develop",IF(L40&gt;=50,"C – Correct","D – Restructure")))</f>
        <v/>
      </c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>
        <f>SUM(C41:K41)</f>
        <v/>
      </c>
      <c r="M41" s="4">
        <f>IF(L41&gt;=80,"A – Growth Partner",IF(L41&gt;=65,"B – Develop",IF(L41&gt;=50,"C – Correct","D – Restructure")))</f>
        <v/>
      </c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>
        <f>SUM(C42:K42)</f>
        <v/>
      </c>
      <c r="M42" s="4">
        <f>IF(L42&gt;=80,"A – Growth Partner",IF(L42&gt;=65,"B – Develop",IF(L42&gt;=50,"C – Correct","D – Restructure")))</f>
        <v/>
      </c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>
        <f>SUM(C43:K43)</f>
        <v/>
      </c>
      <c r="M43" s="4">
        <f>IF(L43&gt;=80,"A – Growth Partner",IF(L43&gt;=65,"B – Develop",IF(L43&gt;=50,"C – Correct","D – Restructure")))</f>
        <v/>
      </c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>
        <f>SUM(C44:K44)</f>
        <v/>
      </c>
      <c r="M44" s="4">
        <f>IF(L44&gt;=80,"A – Growth Partner",IF(L44&gt;=65,"B – Develop",IF(L44&gt;=50,"C – Correct","D – Restructure")))</f>
        <v/>
      </c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>
        <f>SUM(C45:K45)</f>
        <v/>
      </c>
      <c r="M45" s="4">
        <f>IF(L45&gt;=80,"A – Growth Partner",IF(L45&gt;=65,"B – Develop",IF(L45&gt;=50,"C – Correct","D – Restructure")))</f>
        <v/>
      </c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>
        <f>SUM(C46:K46)</f>
        <v/>
      </c>
      <c r="M46" s="4">
        <f>IF(L46&gt;=80,"A – Growth Partner",IF(L46&gt;=65,"B – Develop",IF(L46&gt;=50,"C – Correct","D – Restructure")))</f>
        <v/>
      </c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>
        <f>SUM(C47:K47)</f>
        <v/>
      </c>
      <c r="M47" s="4">
        <f>IF(L47&gt;=80,"A – Growth Partner",IF(L47&gt;=65,"B – Develop",IF(L47&gt;=50,"C – Correct","D – Restructure")))</f>
        <v/>
      </c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>
        <f>SUM(C48:K48)</f>
        <v/>
      </c>
      <c r="M48" s="4">
        <f>IF(L48&gt;=80,"A – Growth Partner",IF(L48&gt;=65,"B – Develop",IF(L48&gt;=50,"C – Correct","D – Restructure")))</f>
        <v/>
      </c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>
        <f>SUM(C49:K49)</f>
        <v/>
      </c>
      <c r="M49" s="4">
        <f>IF(L49&gt;=80,"A – Growth Partner",IF(L49&gt;=65,"B – Develop",IF(L49&gt;=50,"C – Correct","D – Restructure")))</f>
        <v/>
      </c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>
        <f>SUM(C50:K50)</f>
        <v/>
      </c>
      <c r="M50" s="4">
        <f>IF(L50&gt;=80,"A – Growth Partner",IF(L50&gt;=65,"B – Develop",IF(L50&gt;=50,"C – Correct","D – Restructure")))</f>
        <v/>
      </c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>
        <f>SUM(C51:K51)</f>
        <v/>
      </c>
      <c r="M51" s="4">
        <f>IF(L51&gt;=80,"A – Growth Partner",IF(L51&gt;=65,"B – Develop",IF(L51&gt;=50,"C – Correct","D – Restructure")))</f>
        <v/>
      </c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>
        <f>SUM(C52:K52)</f>
        <v/>
      </c>
      <c r="M52" s="4">
        <f>IF(L52&gt;=80,"A – Growth Partner",IF(L52&gt;=65,"B – Develop",IF(L52&gt;=50,"C – Correct","D – Restructure")))</f>
        <v/>
      </c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>
        <f>SUM(C53:K53)</f>
        <v/>
      </c>
      <c r="M53" s="4">
        <f>IF(L53&gt;=80,"A – Growth Partner",IF(L53&gt;=65,"B – Develop",IF(L53&gt;=50,"C – Correct","D – Restructure")))</f>
        <v/>
      </c>
      <c r="N53" s="4" t="n"/>
    </row>
  </sheetData>
  <autoFilter ref="A3:N53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20" customWidth="1" min="7" max="7"/>
    <col width="24" customWidth="1" min="8" max="8"/>
    <col width="28" customWidth="1" min="9" max="9"/>
    <col width="28" customWidth="1" min="10" max="10"/>
    <col width="32" customWidth="1" min="11" max="11"/>
    <col width="18" customWidth="1" min="12" max="12"/>
    <col width="14" customWidth="1" min="13" max="13"/>
    <col width="18" customWidth="1" min="14" max="14"/>
    <col width="14" customWidth="1" min="15" max="15"/>
    <col width="18" customWidth="1" min="16" max="16"/>
    <col width="12" customWidth="1" min="17" max="17"/>
  </cols>
  <sheetData>
    <row r="1" ht="28" customHeight="1">
      <c r="A1" s="1" t="inlineStr">
        <is>
          <t>06 – NPP GROWTH PLAN | GAP → ROOT CAUSE → GIẢI PHÁP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" t="inlineStr">
        <is>
          <t>NPP</t>
        </is>
      </c>
      <c r="B3" s="3" t="inlineStr">
        <is>
          <t>ASM</t>
        </is>
      </c>
      <c r="C3" s="3" t="inlineStr">
        <is>
          <t>Tháng</t>
        </is>
      </c>
      <c r="D3" s="3" t="inlineStr">
        <is>
          <t>Target DS</t>
        </is>
      </c>
      <c r="E3" s="3" t="inlineStr">
        <is>
          <t>Actual</t>
        </is>
      </c>
      <c r="F3" s="3" t="inlineStr">
        <is>
          <t>GAP</t>
        </is>
      </c>
      <c r="G3" s="3" t="inlineStr">
        <is>
          <t>Nguồn tăng trưởng</t>
        </is>
      </c>
      <c r="H3" s="3" t="inlineStr">
        <is>
          <t>Hiện tượng</t>
        </is>
      </c>
      <c r="I3" s="3" t="inlineStr">
        <is>
          <t>Dữ liệu chứng minh</t>
        </is>
      </c>
      <c r="J3" s="3" t="inlineStr">
        <is>
          <t>Nguyên nhân gốc</t>
        </is>
      </c>
      <c r="K3" s="3" t="inlineStr">
        <is>
          <t>Giải pháp</t>
        </is>
      </c>
      <c r="L3" s="3" t="inlineStr">
        <is>
          <t>Owner</t>
        </is>
      </c>
      <c r="M3" s="3" t="inlineStr">
        <is>
          <t>Deadline</t>
        </is>
      </c>
      <c r="N3" s="3" t="inlineStr">
        <is>
          <t>DS kỳ vọng</t>
        </is>
      </c>
      <c r="O3" s="3" t="inlineStr">
        <is>
          <t>Trạng thái</t>
        </is>
      </c>
      <c r="P3" s="3" t="inlineStr">
        <is>
          <t>Actual action</t>
        </is>
      </c>
      <c r="Q3" s="3" t="inlineStr">
        <is>
          <t>% đạt</t>
        </is>
      </c>
    </row>
    <row r="4">
      <c r="A4" s="4" t="n"/>
      <c r="B4" s="4" t="n"/>
      <c r="C4" s="4" t="n"/>
      <c r="D4" s="4" t="n"/>
      <c r="E4" s="4" t="n"/>
      <c r="F4" s="4">
        <f>MAX(0,D4-E4)</f>
        <v/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5">
        <f>IFERROR(P4/N4,0)</f>
        <v/>
      </c>
    </row>
    <row r="5">
      <c r="A5" s="4" t="n"/>
      <c r="B5" s="4" t="n"/>
      <c r="C5" s="4" t="n"/>
      <c r="D5" s="4" t="n"/>
      <c r="E5" s="4" t="n"/>
      <c r="F5" s="4">
        <f>MAX(0,D5-E5)</f>
        <v/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5">
        <f>IFERROR(P5/N5,0)</f>
        <v/>
      </c>
    </row>
    <row r="6">
      <c r="A6" s="4" t="n"/>
      <c r="B6" s="4" t="n"/>
      <c r="C6" s="4" t="n"/>
      <c r="D6" s="4" t="n"/>
      <c r="E6" s="4" t="n"/>
      <c r="F6" s="4">
        <f>MAX(0,D6-E6)</f>
        <v/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5">
        <f>IFERROR(P6/N6,0)</f>
        <v/>
      </c>
    </row>
    <row r="7">
      <c r="A7" s="4" t="n"/>
      <c r="B7" s="4" t="n"/>
      <c r="C7" s="4" t="n"/>
      <c r="D7" s="4" t="n"/>
      <c r="E7" s="4" t="n"/>
      <c r="F7" s="4">
        <f>MAX(0,D7-E7)</f>
        <v/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5">
        <f>IFERROR(P7/N7,0)</f>
        <v/>
      </c>
    </row>
    <row r="8">
      <c r="A8" s="4" t="n"/>
      <c r="B8" s="4" t="n"/>
      <c r="C8" s="4" t="n"/>
      <c r="D8" s="4" t="n"/>
      <c r="E8" s="4" t="n"/>
      <c r="F8" s="4">
        <f>MAX(0,D8-E8)</f>
        <v/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5">
        <f>IFERROR(P8/N8,0)</f>
        <v/>
      </c>
    </row>
    <row r="9">
      <c r="A9" s="4" t="n"/>
      <c r="B9" s="4" t="n"/>
      <c r="C9" s="4" t="n"/>
      <c r="D9" s="4" t="n"/>
      <c r="E9" s="4" t="n"/>
      <c r="F9" s="4">
        <f>MAX(0,D9-E9)</f>
        <v/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5">
        <f>IFERROR(P9/N9,0)</f>
        <v/>
      </c>
    </row>
    <row r="10">
      <c r="A10" s="4" t="n"/>
      <c r="B10" s="4" t="n"/>
      <c r="C10" s="4" t="n"/>
      <c r="D10" s="4" t="n"/>
      <c r="E10" s="4" t="n"/>
      <c r="F10" s="4">
        <f>MAX(0,D10-E10)</f>
        <v/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5">
        <f>IFERROR(P10/N10,0)</f>
        <v/>
      </c>
    </row>
    <row r="11">
      <c r="A11" s="4" t="n"/>
      <c r="B11" s="4" t="n"/>
      <c r="C11" s="4" t="n"/>
      <c r="D11" s="4" t="n"/>
      <c r="E11" s="4" t="n"/>
      <c r="F11" s="4">
        <f>MAX(0,D11-E11)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5">
        <f>IFERROR(P11/N11,0)</f>
        <v/>
      </c>
    </row>
    <row r="12">
      <c r="A12" s="4" t="n"/>
      <c r="B12" s="4" t="n"/>
      <c r="C12" s="4" t="n"/>
      <c r="D12" s="4" t="n"/>
      <c r="E12" s="4" t="n"/>
      <c r="F12" s="4">
        <f>MAX(0,D12-E12)</f>
        <v/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5">
        <f>IFERROR(P12/N12,0)</f>
        <v/>
      </c>
    </row>
    <row r="13">
      <c r="A13" s="4" t="n"/>
      <c r="B13" s="4" t="n"/>
      <c r="C13" s="4" t="n"/>
      <c r="D13" s="4" t="n"/>
      <c r="E13" s="4" t="n"/>
      <c r="F13" s="4">
        <f>MAX(0,D13-E13)</f>
        <v/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5">
        <f>IFERROR(P13/N13,0)</f>
        <v/>
      </c>
    </row>
    <row r="14">
      <c r="A14" s="4" t="n"/>
      <c r="B14" s="4" t="n"/>
      <c r="C14" s="4" t="n"/>
      <c r="D14" s="4" t="n"/>
      <c r="E14" s="4" t="n"/>
      <c r="F14" s="4">
        <f>MAX(0,D14-E14)</f>
        <v/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5">
        <f>IFERROR(P14/N14,0)</f>
        <v/>
      </c>
    </row>
    <row r="15">
      <c r="A15" s="4" t="n"/>
      <c r="B15" s="4" t="n"/>
      <c r="C15" s="4" t="n"/>
      <c r="D15" s="4" t="n"/>
      <c r="E15" s="4" t="n"/>
      <c r="F15" s="4">
        <f>MAX(0,D15-E15)</f>
        <v/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5">
        <f>IFERROR(P15/N15,0)</f>
        <v/>
      </c>
    </row>
    <row r="16">
      <c r="A16" s="4" t="n"/>
      <c r="B16" s="4" t="n"/>
      <c r="C16" s="4" t="n"/>
      <c r="D16" s="4" t="n"/>
      <c r="E16" s="4" t="n"/>
      <c r="F16" s="4">
        <f>MAX(0,D16-E16)</f>
        <v/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5">
        <f>IFERROR(P16/N16,0)</f>
        <v/>
      </c>
    </row>
    <row r="17">
      <c r="A17" s="4" t="n"/>
      <c r="B17" s="4" t="n"/>
      <c r="C17" s="4" t="n"/>
      <c r="D17" s="4" t="n"/>
      <c r="E17" s="4" t="n"/>
      <c r="F17" s="4">
        <f>MAX(0,D17-E17)</f>
        <v/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5">
        <f>IFERROR(P17/N17,0)</f>
        <v/>
      </c>
    </row>
    <row r="18">
      <c r="A18" s="4" t="n"/>
      <c r="B18" s="4" t="n"/>
      <c r="C18" s="4" t="n"/>
      <c r="D18" s="4" t="n"/>
      <c r="E18" s="4" t="n"/>
      <c r="F18" s="4">
        <f>MAX(0,D18-E18)</f>
        <v/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>
        <f>IFERROR(P18/N18,0)</f>
        <v/>
      </c>
    </row>
    <row r="19">
      <c r="A19" s="4" t="n"/>
      <c r="B19" s="4" t="n"/>
      <c r="C19" s="4" t="n"/>
      <c r="D19" s="4" t="n"/>
      <c r="E19" s="4" t="n"/>
      <c r="F19" s="4">
        <f>MAX(0,D19-E19)</f>
        <v/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5">
        <f>IFERROR(P19/N19,0)</f>
        <v/>
      </c>
    </row>
    <row r="20">
      <c r="A20" s="4" t="n"/>
      <c r="B20" s="4" t="n"/>
      <c r="C20" s="4" t="n"/>
      <c r="D20" s="4" t="n"/>
      <c r="E20" s="4" t="n"/>
      <c r="F20" s="4">
        <f>MAX(0,D20-E20)</f>
        <v/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5">
        <f>IFERROR(P20/N20,0)</f>
        <v/>
      </c>
    </row>
    <row r="21">
      <c r="A21" s="4" t="n"/>
      <c r="B21" s="4" t="n"/>
      <c r="C21" s="4" t="n"/>
      <c r="D21" s="4" t="n"/>
      <c r="E21" s="4" t="n"/>
      <c r="F21" s="4">
        <f>MAX(0,D21-E21)</f>
        <v/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5">
        <f>IFERROR(P21/N21,0)</f>
        <v/>
      </c>
    </row>
    <row r="22">
      <c r="A22" s="4" t="n"/>
      <c r="B22" s="4" t="n"/>
      <c r="C22" s="4" t="n"/>
      <c r="D22" s="4" t="n"/>
      <c r="E22" s="4" t="n"/>
      <c r="F22" s="4">
        <f>MAX(0,D22-E22)</f>
        <v/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5">
        <f>IFERROR(P22/N22,0)</f>
        <v/>
      </c>
    </row>
    <row r="23">
      <c r="A23" s="4" t="n"/>
      <c r="B23" s="4" t="n"/>
      <c r="C23" s="4" t="n"/>
      <c r="D23" s="4" t="n"/>
      <c r="E23" s="4" t="n"/>
      <c r="F23" s="4">
        <f>MAX(0,D23-E23)</f>
        <v/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5">
        <f>IFERROR(P23/N23,0)</f>
        <v/>
      </c>
    </row>
    <row r="24">
      <c r="A24" s="4" t="n"/>
      <c r="B24" s="4" t="n"/>
      <c r="C24" s="4" t="n"/>
      <c r="D24" s="4" t="n"/>
      <c r="E24" s="4" t="n"/>
      <c r="F24" s="4">
        <f>MAX(0,D24-E24)</f>
        <v/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5">
        <f>IFERROR(P24/N24,0)</f>
        <v/>
      </c>
    </row>
    <row r="25">
      <c r="A25" s="4" t="n"/>
      <c r="B25" s="4" t="n"/>
      <c r="C25" s="4" t="n"/>
      <c r="D25" s="4" t="n"/>
      <c r="E25" s="4" t="n"/>
      <c r="F25" s="4">
        <f>MAX(0,D25-E25)</f>
        <v/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5">
        <f>IFERROR(P25/N25,0)</f>
        <v/>
      </c>
    </row>
    <row r="26">
      <c r="A26" s="4" t="n"/>
      <c r="B26" s="4" t="n"/>
      <c r="C26" s="4" t="n"/>
      <c r="D26" s="4" t="n"/>
      <c r="E26" s="4" t="n"/>
      <c r="F26" s="4">
        <f>MAX(0,D26-E26)</f>
        <v/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5">
        <f>IFERROR(P26/N26,0)</f>
        <v/>
      </c>
    </row>
    <row r="27">
      <c r="A27" s="4" t="n"/>
      <c r="B27" s="4" t="n"/>
      <c r="C27" s="4" t="n"/>
      <c r="D27" s="4" t="n"/>
      <c r="E27" s="4" t="n"/>
      <c r="F27" s="4">
        <f>MAX(0,D27-E27)</f>
        <v/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5">
        <f>IFERROR(P27/N27,0)</f>
        <v/>
      </c>
    </row>
    <row r="28">
      <c r="A28" s="4" t="n"/>
      <c r="B28" s="4" t="n"/>
      <c r="C28" s="4" t="n"/>
      <c r="D28" s="4" t="n"/>
      <c r="E28" s="4" t="n"/>
      <c r="F28" s="4">
        <f>MAX(0,D28-E28)</f>
        <v/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5">
        <f>IFERROR(P28/N28,0)</f>
        <v/>
      </c>
    </row>
    <row r="29">
      <c r="A29" s="4" t="n"/>
      <c r="B29" s="4" t="n"/>
      <c r="C29" s="4" t="n"/>
      <c r="D29" s="4" t="n"/>
      <c r="E29" s="4" t="n"/>
      <c r="F29" s="4">
        <f>MAX(0,D29-E29)</f>
        <v/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5">
        <f>IFERROR(P29/N29,0)</f>
        <v/>
      </c>
    </row>
    <row r="30">
      <c r="A30" s="4" t="n"/>
      <c r="B30" s="4" t="n"/>
      <c r="C30" s="4" t="n"/>
      <c r="D30" s="4" t="n"/>
      <c r="E30" s="4" t="n"/>
      <c r="F30" s="4">
        <f>MAX(0,D30-E30)</f>
        <v/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5">
        <f>IFERROR(P30/N30,0)</f>
        <v/>
      </c>
    </row>
    <row r="31">
      <c r="A31" s="4" t="n"/>
      <c r="B31" s="4" t="n"/>
      <c r="C31" s="4" t="n"/>
      <c r="D31" s="4" t="n"/>
      <c r="E31" s="4" t="n"/>
      <c r="F31" s="4">
        <f>MAX(0,D31-E31)</f>
        <v/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5">
        <f>IFERROR(P31/N31,0)</f>
        <v/>
      </c>
    </row>
    <row r="32">
      <c r="A32" s="4" t="n"/>
      <c r="B32" s="4" t="n"/>
      <c r="C32" s="4" t="n"/>
      <c r="D32" s="4" t="n"/>
      <c r="E32" s="4" t="n"/>
      <c r="F32" s="4">
        <f>MAX(0,D32-E32)</f>
        <v/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5">
        <f>IFERROR(P32/N32,0)</f>
        <v/>
      </c>
    </row>
    <row r="33">
      <c r="A33" s="4" t="n"/>
      <c r="B33" s="4" t="n"/>
      <c r="C33" s="4" t="n"/>
      <c r="D33" s="4" t="n"/>
      <c r="E33" s="4" t="n"/>
      <c r="F33" s="4">
        <f>MAX(0,D33-E33)</f>
        <v/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5">
        <f>IFERROR(P33/N33,0)</f>
        <v/>
      </c>
    </row>
    <row r="34">
      <c r="A34" s="4" t="n"/>
      <c r="B34" s="4" t="n"/>
      <c r="C34" s="4" t="n"/>
      <c r="D34" s="4" t="n"/>
      <c r="E34" s="4" t="n"/>
      <c r="F34" s="4">
        <f>MAX(0,D34-E34)</f>
        <v/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5">
        <f>IFERROR(P34/N34,0)</f>
        <v/>
      </c>
    </row>
    <row r="35">
      <c r="A35" s="4" t="n"/>
      <c r="B35" s="4" t="n"/>
      <c r="C35" s="4" t="n"/>
      <c r="D35" s="4" t="n"/>
      <c r="E35" s="4" t="n"/>
      <c r="F35" s="4">
        <f>MAX(0,D35-E35)</f>
        <v/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5">
        <f>IFERROR(P35/N35,0)</f>
        <v/>
      </c>
    </row>
    <row r="36">
      <c r="A36" s="4" t="n"/>
      <c r="B36" s="4" t="n"/>
      <c r="C36" s="4" t="n"/>
      <c r="D36" s="4" t="n"/>
      <c r="E36" s="4" t="n"/>
      <c r="F36" s="4">
        <f>MAX(0,D36-E36)</f>
        <v/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5">
        <f>IFERROR(P36/N36,0)</f>
        <v/>
      </c>
    </row>
    <row r="37">
      <c r="A37" s="4" t="n"/>
      <c r="B37" s="4" t="n"/>
      <c r="C37" s="4" t="n"/>
      <c r="D37" s="4" t="n"/>
      <c r="E37" s="4" t="n"/>
      <c r="F37" s="4">
        <f>MAX(0,D37-E37)</f>
        <v/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5">
        <f>IFERROR(P37/N37,0)</f>
        <v/>
      </c>
    </row>
    <row r="38">
      <c r="A38" s="4" t="n"/>
      <c r="B38" s="4" t="n"/>
      <c r="C38" s="4" t="n"/>
      <c r="D38" s="4" t="n"/>
      <c r="E38" s="4" t="n"/>
      <c r="F38" s="4">
        <f>MAX(0,D38-E38)</f>
        <v/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5">
        <f>IFERROR(P38/N38,0)</f>
        <v/>
      </c>
    </row>
    <row r="39">
      <c r="A39" s="4" t="n"/>
      <c r="B39" s="4" t="n"/>
      <c r="C39" s="4" t="n"/>
      <c r="D39" s="4" t="n"/>
      <c r="E39" s="4" t="n"/>
      <c r="F39" s="4">
        <f>MAX(0,D39-E39)</f>
        <v/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5">
        <f>IFERROR(P39/N39,0)</f>
        <v/>
      </c>
    </row>
    <row r="40">
      <c r="A40" s="4" t="n"/>
      <c r="B40" s="4" t="n"/>
      <c r="C40" s="4" t="n"/>
      <c r="D40" s="4" t="n"/>
      <c r="E40" s="4" t="n"/>
      <c r="F40" s="4">
        <f>MAX(0,D40-E40)</f>
        <v/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5">
        <f>IFERROR(P40/N40,0)</f>
        <v/>
      </c>
    </row>
    <row r="41">
      <c r="A41" s="4" t="n"/>
      <c r="B41" s="4" t="n"/>
      <c r="C41" s="4" t="n"/>
      <c r="D41" s="4" t="n"/>
      <c r="E41" s="4" t="n"/>
      <c r="F41" s="4">
        <f>MAX(0,D41-E41)</f>
        <v/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5">
        <f>IFERROR(P41/N41,0)</f>
        <v/>
      </c>
    </row>
    <row r="42">
      <c r="A42" s="4" t="n"/>
      <c r="B42" s="4" t="n"/>
      <c r="C42" s="4" t="n"/>
      <c r="D42" s="4" t="n"/>
      <c r="E42" s="4" t="n"/>
      <c r="F42" s="4">
        <f>MAX(0,D42-E42)</f>
        <v/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5">
        <f>IFERROR(P42/N42,0)</f>
        <v/>
      </c>
    </row>
    <row r="43">
      <c r="A43" s="4" t="n"/>
      <c r="B43" s="4" t="n"/>
      <c r="C43" s="4" t="n"/>
      <c r="D43" s="4" t="n"/>
      <c r="E43" s="4" t="n"/>
      <c r="F43" s="4">
        <f>MAX(0,D43-E43)</f>
        <v/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5">
        <f>IFERROR(P43/N43,0)</f>
        <v/>
      </c>
    </row>
    <row r="44">
      <c r="A44" s="4" t="n"/>
      <c r="B44" s="4" t="n"/>
      <c r="C44" s="4" t="n"/>
      <c r="D44" s="4" t="n"/>
      <c r="E44" s="4" t="n"/>
      <c r="F44" s="4">
        <f>MAX(0,D44-E44)</f>
        <v/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5">
        <f>IFERROR(P44/N44,0)</f>
        <v/>
      </c>
    </row>
    <row r="45">
      <c r="A45" s="4" t="n"/>
      <c r="B45" s="4" t="n"/>
      <c r="C45" s="4" t="n"/>
      <c r="D45" s="4" t="n"/>
      <c r="E45" s="4" t="n"/>
      <c r="F45" s="4">
        <f>MAX(0,D45-E45)</f>
        <v/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5">
        <f>IFERROR(P45/N45,0)</f>
        <v/>
      </c>
    </row>
    <row r="46">
      <c r="A46" s="4" t="n"/>
      <c r="B46" s="4" t="n"/>
      <c r="C46" s="4" t="n"/>
      <c r="D46" s="4" t="n"/>
      <c r="E46" s="4" t="n"/>
      <c r="F46" s="4">
        <f>MAX(0,D46-E46)</f>
        <v/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5">
        <f>IFERROR(P46/N46,0)</f>
        <v/>
      </c>
    </row>
    <row r="47">
      <c r="A47" s="4" t="n"/>
      <c r="B47" s="4" t="n"/>
      <c r="C47" s="4" t="n"/>
      <c r="D47" s="4" t="n"/>
      <c r="E47" s="4" t="n"/>
      <c r="F47" s="4">
        <f>MAX(0,D47-E47)</f>
        <v/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5">
        <f>IFERROR(P47/N47,0)</f>
        <v/>
      </c>
    </row>
    <row r="48">
      <c r="A48" s="4" t="n"/>
      <c r="B48" s="4" t="n"/>
      <c r="C48" s="4" t="n"/>
      <c r="D48" s="4" t="n"/>
      <c r="E48" s="4" t="n"/>
      <c r="F48" s="4">
        <f>MAX(0,D48-E48)</f>
        <v/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5">
        <f>IFERROR(P48/N48,0)</f>
        <v/>
      </c>
    </row>
    <row r="49">
      <c r="A49" s="4" t="n"/>
      <c r="B49" s="4" t="n"/>
      <c r="C49" s="4" t="n"/>
      <c r="D49" s="4" t="n"/>
      <c r="E49" s="4" t="n"/>
      <c r="F49" s="4">
        <f>MAX(0,D49-E49)</f>
        <v/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5">
        <f>IFERROR(P49/N49,0)</f>
        <v/>
      </c>
    </row>
    <row r="50">
      <c r="A50" s="4" t="n"/>
      <c r="B50" s="4" t="n"/>
      <c r="C50" s="4" t="n"/>
      <c r="D50" s="4" t="n"/>
      <c r="E50" s="4" t="n"/>
      <c r="F50" s="4">
        <f>MAX(0,D50-E50)</f>
        <v/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5">
        <f>IFERROR(P50/N50,0)</f>
        <v/>
      </c>
    </row>
    <row r="51">
      <c r="A51" s="4" t="n"/>
      <c r="B51" s="4" t="n"/>
      <c r="C51" s="4" t="n"/>
      <c r="D51" s="4" t="n"/>
      <c r="E51" s="4" t="n"/>
      <c r="F51" s="4">
        <f>MAX(0,D51-E51)</f>
        <v/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5">
        <f>IFERROR(P51/N51,0)</f>
        <v/>
      </c>
    </row>
    <row r="52">
      <c r="A52" s="4" t="n"/>
      <c r="B52" s="4" t="n"/>
      <c r="C52" s="4" t="n"/>
      <c r="D52" s="4" t="n"/>
      <c r="E52" s="4" t="n"/>
      <c r="F52" s="4">
        <f>MAX(0,D52-E52)</f>
        <v/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5">
        <f>IFERROR(P52/N52,0)</f>
        <v/>
      </c>
    </row>
    <row r="53">
      <c r="A53" s="4" t="n"/>
      <c r="B53" s="4" t="n"/>
      <c r="C53" s="4" t="n"/>
      <c r="D53" s="4" t="n"/>
      <c r="E53" s="4" t="n"/>
      <c r="F53" s="4">
        <f>MAX(0,D53-E53)</f>
        <v/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5">
        <f>IFERROR(P53/N53,0)</f>
        <v/>
      </c>
    </row>
    <row r="54">
      <c r="A54" s="4" t="n"/>
      <c r="B54" s="4" t="n"/>
      <c r="C54" s="4" t="n"/>
      <c r="D54" s="4" t="n"/>
      <c r="E54" s="4" t="n"/>
      <c r="F54" s="4">
        <f>MAX(0,D54-E54)</f>
        <v/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5">
        <f>IFERROR(P54/N54,0)</f>
        <v/>
      </c>
    </row>
    <row r="55">
      <c r="A55" s="4" t="n"/>
      <c r="B55" s="4" t="n"/>
      <c r="C55" s="4" t="n"/>
      <c r="D55" s="4" t="n"/>
      <c r="E55" s="4" t="n"/>
      <c r="F55" s="4">
        <f>MAX(0,D55-E55)</f>
        <v/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5">
        <f>IFERROR(P55/N55,0)</f>
        <v/>
      </c>
    </row>
    <row r="56">
      <c r="A56" s="4" t="n"/>
      <c r="B56" s="4" t="n"/>
      <c r="C56" s="4" t="n"/>
      <c r="D56" s="4" t="n"/>
      <c r="E56" s="4" t="n"/>
      <c r="F56" s="4">
        <f>MAX(0,D56-E56)</f>
        <v/>
      </c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5">
        <f>IFERROR(P56/N56,0)</f>
        <v/>
      </c>
    </row>
    <row r="57">
      <c r="A57" s="4" t="n"/>
      <c r="B57" s="4" t="n"/>
      <c r="C57" s="4" t="n"/>
      <c r="D57" s="4" t="n"/>
      <c r="E57" s="4" t="n"/>
      <c r="F57" s="4">
        <f>MAX(0,D57-E57)</f>
        <v/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5">
        <f>IFERROR(P57/N57,0)</f>
        <v/>
      </c>
    </row>
    <row r="58">
      <c r="A58" s="4" t="n"/>
      <c r="B58" s="4" t="n"/>
      <c r="C58" s="4" t="n"/>
      <c r="D58" s="4" t="n"/>
      <c r="E58" s="4" t="n"/>
      <c r="F58" s="4">
        <f>MAX(0,D58-E58)</f>
        <v/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5">
        <f>IFERROR(P58/N58,0)</f>
        <v/>
      </c>
    </row>
    <row r="59">
      <c r="A59" s="4" t="n"/>
      <c r="B59" s="4" t="n"/>
      <c r="C59" s="4" t="n"/>
      <c r="D59" s="4" t="n"/>
      <c r="E59" s="4" t="n"/>
      <c r="F59" s="4">
        <f>MAX(0,D59-E59)</f>
        <v/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5">
        <f>IFERROR(P59/N59,0)</f>
        <v/>
      </c>
    </row>
    <row r="60">
      <c r="A60" s="4" t="n"/>
      <c r="B60" s="4" t="n"/>
      <c r="C60" s="4" t="n"/>
      <c r="D60" s="4" t="n"/>
      <c r="E60" s="4" t="n"/>
      <c r="F60" s="4">
        <f>MAX(0,D60-E60)</f>
        <v/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5">
        <f>IFERROR(P60/N60,0)</f>
        <v/>
      </c>
    </row>
    <row r="61">
      <c r="A61" s="4" t="n"/>
      <c r="B61" s="4" t="n"/>
      <c r="C61" s="4" t="n"/>
      <c r="D61" s="4" t="n"/>
      <c r="E61" s="4" t="n"/>
      <c r="F61" s="4">
        <f>MAX(0,D61-E61)</f>
        <v/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5">
        <f>IFERROR(P61/N61,0)</f>
        <v/>
      </c>
    </row>
    <row r="62">
      <c r="A62" s="4" t="n"/>
      <c r="B62" s="4" t="n"/>
      <c r="C62" s="4" t="n"/>
      <c r="D62" s="4" t="n"/>
      <c r="E62" s="4" t="n"/>
      <c r="F62" s="4">
        <f>MAX(0,D62-E62)</f>
        <v/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5">
        <f>IFERROR(P62/N62,0)</f>
        <v/>
      </c>
    </row>
    <row r="63">
      <c r="A63" s="4" t="n"/>
      <c r="B63" s="4" t="n"/>
      <c r="C63" s="4" t="n"/>
      <c r="D63" s="4" t="n"/>
      <c r="E63" s="4" t="n"/>
      <c r="F63" s="4">
        <f>MAX(0,D63-E63)</f>
        <v/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5">
        <f>IFERROR(P63/N63,0)</f>
        <v/>
      </c>
    </row>
    <row r="64">
      <c r="A64" s="4" t="n"/>
      <c r="B64" s="4" t="n"/>
      <c r="C64" s="4" t="n"/>
      <c r="D64" s="4" t="n"/>
      <c r="E64" s="4" t="n"/>
      <c r="F64" s="4">
        <f>MAX(0,D64-E64)</f>
        <v/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5">
        <f>IFERROR(P64/N64,0)</f>
        <v/>
      </c>
    </row>
    <row r="65">
      <c r="A65" s="4" t="n"/>
      <c r="B65" s="4" t="n"/>
      <c r="C65" s="4" t="n"/>
      <c r="D65" s="4" t="n"/>
      <c r="E65" s="4" t="n"/>
      <c r="F65" s="4">
        <f>MAX(0,D65-E65)</f>
        <v/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5">
        <f>IFERROR(P65/N65,0)</f>
        <v/>
      </c>
    </row>
    <row r="66">
      <c r="A66" s="4" t="n"/>
      <c r="B66" s="4" t="n"/>
      <c r="C66" s="4" t="n"/>
      <c r="D66" s="4" t="n"/>
      <c r="E66" s="4" t="n"/>
      <c r="F66" s="4">
        <f>MAX(0,D66-E66)</f>
        <v/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5">
        <f>IFERROR(P66/N66,0)</f>
        <v/>
      </c>
    </row>
    <row r="67">
      <c r="A67" s="4" t="n"/>
      <c r="B67" s="4" t="n"/>
      <c r="C67" s="4" t="n"/>
      <c r="D67" s="4" t="n"/>
      <c r="E67" s="4" t="n"/>
      <c r="F67" s="4">
        <f>MAX(0,D67-E67)</f>
        <v/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5">
        <f>IFERROR(P67/N67,0)</f>
        <v/>
      </c>
    </row>
    <row r="68">
      <c r="A68" s="4" t="n"/>
      <c r="B68" s="4" t="n"/>
      <c r="C68" s="4" t="n"/>
      <c r="D68" s="4" t="n"/>
      <c r="E68" s="4" t="n"/>
      <c r="F68" s="4">
        <f>MAX(0,D68-E68)</f>
        <v/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5">
        <f>IFERROR(P68/N68,0)</f>
        <v/>
      </c>
    </row>
    <row r="69">
      <c r="A69" s="4" t="n"/>
      <c r="B69" s="4" t="n"/>
      <c r="C69" s="4" t="n"/>
      <c r="D69" s="4" t="n"/>
      <c r="E69" s="4" t="n"/>
      <c r="F69" s="4">
        <f>MAX(0,D69-E69)</f>
        <v/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5">
        <f>IFERROR(P69/N69,0)</f>
        <v/>
      </c>
    </row>
    <row r="70">
      <c r="A70" s="4" t="n"/>
      <c r="B70" s="4" t="n"/>
      <c r="C70" s="4" t="n"/>
      <c r="D70" s="4" t="n"/>
      <c r="E70" s="4" t="n"/>
      <c r="F70" s="4">
        <f>MAX(0,D70-E70)</f>
        <v/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5">
        <f>IFERROR(P70/N70,0)</f>
        <v/>
      </c>
    </row>
    <row r="71">
      <c r="A71" s="4" t="n"/>
      <c r="B71" s="4" t="n"/>
      <c r="C71" s="4" t="n"/>
      <c r="D71" s="4" t="n"/>
      <c r="E71" s="4" t="n"/>
      <c r="F71" s="4">
        <f>MAX(0,D71-E71)</f>
        <v/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5">
        <f>IFERROR(P71/N71,0)</f>
        <v/>
      </c>
    </row>
    <row r="72">
      <c r="A72" s="4" t="n"/>
      <c r="B72" s="4" t="n"/>
      <c r="C72" s="4" t="n"/>
      <c r="D72" s="4" t="n"/>
      <c r="E72" s="4" t="n"/>
      <c r="F72" s="4">
        <f>MAX(0,D72-E72)</f>
        <v/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5">
        <f>IFERROR(P72/N72,0)</f>
        <v/>
      </c>
    </row>
    <row r="73">
      <c r="A73" s="4" t="n"/>
      <c r="B73" s="4" t="n"/>
      <c r="C73" s="4" t="n"/>
      <c r="D73" s="4" t="n"/>
      <c r="E73" s="4" t="n"/>
      <c r="F73" s="4">
        <f>MAX(0,D73-E73)</f>
        <v/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5">
        <f>IFERROR(P73/N73,0)</f>
        <v/>
      </c>
    </row>
    <row r="74">
      <c r="A74" s="4" t="n"/>
      <c r="B74" s="4" t="n"/>
      <c r="C74" s="4" t="n"/>
      <c r="D74" s="4" t="n"/>
      <c r="E74" s="4" t="n"/>
      <c r="F74" s="4">
        <f>MAX(0,D74-E74)</f>
        <v/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5">
        <f>IFERROR(P74/N74,0)</f>
        <v/>
      </c>
    </row>
    <row r="75">
      <c r="A75" s="4" t="n"/>
      <c r="B75" s="4" t="n"/>
      <c r="C75" s="4" t="n"/>
      <c r="D75" s="4" t="n"/>
      <c r="E75" s="4" t="n"/>
      <c r="F75" s="4">
        <f>MAX(0,D75-E75)</f>
        <v/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5">
        <f>IFERROR(P75/N75,0)</f>
        <v/>
      </c>
    </row>
    <row r="76">
      <c r="A76" s="4" t="n"/>
      <c r="B76" s="4" t="n"/>
      <c r="C76" s="4" t="n"/>
      <c r="D76" s="4" t="n"/>
      <c r="E76" s="4" t="n"/>
      <c r="F76" s="4">
        <f>MAX(0,D76-E76)</f>
        <v/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5">
        <f>IFERROR(P76/N76,0)</f>
        <v/>
      </c>
    </row>
    <row r="77">
      <c r="A77" s="4" t="n"/>
      <c r="B77" s="4" t="n"/>
      <c r="C77" s="4" t="n"/>
      <c r="D77" s="4" t="n"/>
      <c r="E77" s="4" t="n"/>
      <c r="F77" s="4">
        <f>MAX(0,D77-E77)</f>
        <v/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5">
        <f>IFERROR(P77/N77,0)</f>
        <v/>
      </c>
    </row>
    <row r="78">
      <c r="A78" s="4" t="n"/>
      <c r="B78" s="4" t="n"/>
      <c r="C78" s="4" t="n"/>
      <c r="D78" s="4" t="n"/>
      <c r="E78" s="4" t="n"/>
      <c r="F78" s="4">
        <f>MAX(0,D78-E78)</f>
        <v/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5">
        <f>IFERROR(P78/N78,0)</f>
        <v/>
      </c>
    </row>
    <row r="79">
      <c r="A79" s="4" t="n"/>
      <c r="B79" s="4" t="n"/>
      <c r="C79" s="4" t="n"/>
      <c r="D79" s="4" t="n"/>
      <c r="E79" s="4" t="n"/>
      <c r="F79" s="4">
        <f>MAX(0,D79-E79)</f>
        <v/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5">
        <f>IFERROR(P79/N79,0)</f>
        <v/>
      </c>
    </row>
    <row r="80">
      <c r="A80" s="4" t="n"/>
      <c r="B80" s="4" t="n"/>
      <c r="C80" s="4" t="n"/>
      <c r="D80" s="4" t="n"/>
      <c r="E80" s="4" t="n"/>
      <c r="F80" s="4">
        <f>MAX(0,D80-E80)</f>
        <v/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5">
        <f>IFERROR(P80/N80,0)</f>
        <v/>
      </c>
    </row>
    <row r="81">
      <c r="A81" s="4" t="n"/>
      <c r="B81" s="4" t="n"/>
      <c r="C81" s="4" t="n"/>
      <c r="D81" s="4" t="n"/>
      <c r="E81" s="4" t="n"/>
      <c r="F81" s="4">
        <f>MAX(0,D81-E81)</f>
        <v/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5">
        <f>IFERROR(P81/N81,0)</f>
        <v/>
      </c>
    </row>
    <row r="82">
      <c r="A82" s="4" t="n"/>
      <c r="B82" s="4" t="n"/>
      <c r="C82" s="4" t="n"/>
      <c r="D82" s="4" t="n"/>
      <c r="E82" s="4" t="n"/>
      <c r="F82" s="4">
        <f>MAX(0,D82-E82)</f>
        <v/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5">
        <f>IFERROR(P82/N82,0)</f>
        <v/>
      </c>
    </row>
    <row r="83">
      <c r="A83" s="4" t="n"/>
      <c r="B83" s="4" t="n"/>
      <c r="C83" s="4" t="n"/>
      <c r="D83" s="4" t="n"/>
      <c r="E83" s="4" t="n"/>
      <c r="F83" s="4">
        <f>MAX(0,D83-E83)</f>
        <v/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5">
        <f>IFERROR(P83/N83,0)</f>
        <v/>
      </c>
    </row>
    <row r="84">
      <c r="A84" s="4" t="n"/>
      <c r="B84" s="4" t="n"/>
      <c r="C84" s="4" t="n"/>
      <c r="D84" s="4" t="n"/>
      <c r="E84" s="4" t="n"/>
      <c r="F84" s="4">
        <f>MAX(0,D84-E84)</f>
        <v/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5">
        <f>IFERROR(P84/N84,0)</f>
        <v/>
      </c>
    </row>
    <row r="85">
      <c r="A85" s="4" t="n"/>
      <c r="B85" s="4" t="n"/>
      <c r="C85" s="4" t="n"/>
      <c r="D85" s="4" t="n"/>
      <c r="E85" s="4" t="n"/>
      <c r="F85" s="4">
        <f>MAX(0,D85-E85)</f>
        <v/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5">
        <f>IFERROR(P85/N85,0)</f>
        <v/>
      </c>
    </row>
    <row r="86">
      <c r="A86" s="4" t="n"/>
      <c r="B86" s="4" t="n"/>
      <c r="C86" s="4" t="n"/>
      <c r="D86" s="4" t="n"/>
      <c r="E86" s="4" t="n"/>
      <c r="F86" s="4">
        <f>MAX(0,D86-E86)</f>
        <v/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5">
        <f>IFERROR(P86/N86,0)</f>
        <v/>
      </c>
    </row>
    <row r="87">
      <c r="A87" s="4" t="n"/>
      <c r="B87" s="4" t="n"/>
      <c r="C87" s="4" t="n"/>
      <c r="D87" s="4" t="n"/>
      <c r="E87" s="4" t="n"/>
      <c r="F87" s="4">
        <f>MAX(0,D87-E87)</f>
        <v/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5">
        <f>IFERROR(P87/N87,0)</f>
        <v/>
      </c>
    </row>
    <row r="88">
      <c r="A88" s="4" t="n"/>
      <c r="B88" s="4" t="n"/>
      <c r="C88" s="4" t="n"/>
      <c r="D88" s="4" t="n"/>
      <c r="E88" s="4" t="n"/>
      <c r="F88" s="4">
        <f>MAX(0,D88-E88)</f>
        <v/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5">
        <f>IFERROR(P88/N88,0)</f>
        <v/>
      </c>
    </row>
    <row r="89">
      <c r="A89" s="4" t="n"/>
      <c r="B89" s="4" t="n"/>
      <c r="C89" s="4" t="n"/>
      <c r="D89" s="4" t="n"/>
      <c r="E89" s="4" t="n"/>
      <c r="F89" s="4">
        <f>MAX(0,D89-E89)</f>
        <v/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5">
        <f>IFERROR(P89/N89,0)</f>
        <v/>
      </c>
    </row>
    <row r="90">
      <c r="A90" s="4" t="n"/>
      <c r="B90" s="4" t="n"/>
      <c r="C90" s="4" t="n"/>
      <c r="D90" s="4" t="n"/>
      <c r="E90" s="4" t="n"/>
      <c r="F90" s="4">
        <f>MAX(0,D90-E90)</f>
        <v/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5">
        <f>IFERROR(P90/N90,0)</f>
        <v/>
      </c>
    </row>
    <row r="91">
      <c r="A91" s="4" t="n"/>
      <c r="B91" s="4" t="n"/>
      <c r="C91" s="4" t="n"/>
      <c r="D91" s="4" t="n"/>
      <c r="E91" s="4" t="n"/>
      <c r="F91" s="4">
        <f>MAX(0,D91-E91)</f>
        <v/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5">
        <f>IFERROR(P91/N91,0)</f>
        <v/>
      </c>
    </row>
    <row r="92">
      <c r="A92" s="4" t="n"/>
      <c r="B92" s="4" t="n"/>
      <c r="C92" s="4" t="n"/>
      <c r="D92" s="4" t="n"/>
      <c r="E92" s="4" t="n"/>
      <c r="F92" s="4">
        <f>MAX(0,D92-E92)</f>
        <v/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5">
        <f>IFERROR(P92/N92,0)</f>
        <v/>
      </c>
    </row>
    <row r="93">
      <c r="A93" s="4" t="n"/>
      <c r="B93" s="4" t="n"/>
      <c r="C93" s="4" t="n"/>
      <c r="D93" s="4" t="n"/>
      <c r="E93" s="4" t="n"/>
      <c r="F93" s="4">
        <f>MAX(0,D93-E93)</f>
        <v/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5">
        <f>IFERROR(P93/N93,0)</f>
        <v/>
      </c>
    </row>
    <row r="94">
      <c r="A94" s="4" t="n"/>
      <c r="B94" s="4" t="n"/>
      <c r="C94" s="4" t="n"/>
      <c r="D94" s="4" t="n"/>
      <c r="E94" s="4" t="n"/>
      <c r="F94" s="4">
        <f>MAX(0,D94-E94)</f>
        <v/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5">
        <f>IFERROR(P94/N94,0)</f>
        <v/>
      </c>
    </row>
    <row r="95">
      <c r="A95" s="4" t="n"/>
      <c r="B95" s="4" t="n"/>
      <c r="C95" s="4" t="n"/>
      <c r="D95" s="4" t="n"/>
      <c r="E95" s="4" t="n"/>
      <c r="F95" s="4">
        <f>MAX(0,D95-E95)</f>
        <v/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5">
        <f>IFERROR(P95/N95,0)</f>
        <v/>
      </c>
    </row>
    <row r="96">
      <c r="A96" s="4" t="n"/>
      <c r="B96" s="4" t="n"/>
      <c r="C96" s="4" t="n"/>
      <c r="D96" s="4" t="n"/>
      <c r="E96" s="4" t="n"/>
      <c r="F96" s="4">
        <f>MAX(0,D96-E96)</f>
        <v/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5">
        <f>IFERROR(P96/N96,0)</f>
        <v/>
      </c>
    </row>
    <row r="97">
      <c r="A97" s="4" t="n"/>
      <c r="B97" s="4" t="n"/>
      <c r="C97" s="4" t="n"/>
      <c r="D97" s="4" t="n"/>
      <c r="E97" s="4" t="n"/>
      <c r="F97" s="4">
        <f>MAX(0,D97-E97)</f>
        <v/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5">
        <f>IFERROR(P97/N97,0)</f>
        <v/>
      </c>
    </row>
    <row r="98">
      <c r="A98" s="4" t="n"/>
      <c r="B98" s="4" t="n"/>
      <c r="C98" s="4" t="n"/>
      <c r="D98" s="4" t="n"/>
      <c r="E98" s="4" t="n"/>
      <c r="F98" s="4">
        <f>MAX(0,D98-E98)</f>
        <v/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5">
        <f>IFERROR(P98/N98,0)</f>
        <v/>
      </c>
    </row>
    <row r="99">
      <c r="A99" s="4" t="n"/>
      <c r="B99" s="4" t="n"/>
      <c r="C99" s="4" t="n"/>
      <c r="D99" s="4" t="n"/>
      <c r="E99" s="4" t="n"/>
      <c r="F99" s="4">
        <f>MAX(0,D99-E99)</f>
        <v/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5">
        <f>IFERROR(P99/N99,0)</f>
        <v/>
      </c>
    </row>
    <row r="100">
      <c r="A100" s="4" t="n"/>
      <c r="B100" s="4" t="n"/>
      <c r="C100" s="4" t="n"/>
      <c r="D100" s="4" t="n"/>
      <c r="E100" s="4" t="n"/>
      <c r="F100" s="4">
        <f>MAX(0,D100-E100)</f>
        <v/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5">
        <f>IFERROR(P100/N100,0)</f>
        <v/>
      </c>
    </row>
    <row r="101">
      <c r="A101" s="4" t="n"/>
      <c r="B101" s="4" t="n"/>
      <c r="C101" s="4" t="n"/>
      <c r="D101" s="4" t="n"/>
      <c r="E101" s="4" t="n"/>
      <c r="F101" s="4">
        <f>MAX(0,D101-E101)</f>
        <v/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5">
        <f>IFERROR(P101/N101,0)</f>
        <v/>
      </c>
    </row>
    <row r="102">
      <c r="A102" s="4" t="n"/>
      <c r="B102" s="4" t="n"/>
      <c r="C102" s="4" t="n"/>
      <c r="D102" s="4" t="n"/>
      <c r="E102" s="4" t="n"/>
      <c r="F102" s="4">
        <f>MAX(0,D102-E102)</f>
        <v/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5">
        <f>IFERROR(P102/N102,0)</f>
        <v/>
      </c>
    </row>
    <row r="103">
      <c r="A103" s="4" t="n"/>
      <c r="B103" s="4" t="n"/>
      <c r="C103" s="4" t="n"/>
      <c r="D103" s="4" t="n"/>
      <c r="E103" s="4" t="n"/>
      <c r="F103" s="4">
        <f>MAX(0,D103-E103)</f>
        <v/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5">
        <f>IFERROR(P103/N103,0)</f>
        <v/>
      </c>
    </row>
  </sheetData>
  <autoFilter ref="A3:Q103"/>
  <mergeCells count="1">
    <mergeCell ref="A1:Q1"/>
  </mergeCells>
  <dataValidations count="2">
    <dataValidation sqref="G4:G103" showDropDown="0" showInputMessage="0" showErrorMessage="0" allowBlank="0" type="list">
      <formula1>"Coverage,Activation,Cross-sell,Frequency,AOV,Reactivation,Sell-out,Inventory,Sales Force,Competitor,Other"</formula1>
    </dataValidation>
    <dataValidation sqref="O4:O103" showDropDown="0" showInputMessage="0" showErrorMessage="0" allowBlank="0" type="list">
      <formula1>"Open,Doing,Done,Blocked"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36" customWidth="1" min="4" max="4"/>
    <col width="18" customWidth="1" min="5" max="5"/>
    <col width="18" customWidth="1" min="6" max="6"/>
    <col width="14" customWidth="1" min="7" max="7"/>
  </cols>
  <sheetData>
    <row r="1" ht="28" customHeight="1">
      <c r="A1" s="1" t="inlineStr">
        <is>
          <t>07 – ASM TERRITORY DASHBOARD | 1 TRANG QUẢN TRỊ ĐỊA BÀN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Chỉ số</t>
        </is>
      </c>
      <c r="B3" s="3" t="inlineStr">
        <is>
          <t>Giá trị</t>
        </is>
      </c>
      <c r="C3" s="3" t="inlineStr">
        <is>
          <t>Ý nghĩa / hành động</t>
        </is>
      </c>
      <c r="D3" s="2" t="n"/>
      <c r="E3" s="2" t="n"/>
      <c r="F3" s="2" t="n"/>
      <c r="G3" s="2" t="n"/>
    </row>
    <row r="4">
      <c r="A4" s="4" t="inlineStr">
        <is>
          <t>Tổng NPP</t>
        </is>
      </c>
      <c r="B4" s="4">
        <f>COUNTA('02_NPP_MASTER'!B4:B53)</f>
        <v/>
      </c>
      <c r="C4" s="4" t="inlineStr">
        <is>
          <t>Độ rộng mạng lưới</t>
        </is>
      </c>
      <c r="D4" s="2" t="n"/>
      <c r="E4" s="2" t="n"/>
      <c r="F4" s="2" t="n"/>
      <c r="G4" s="2" t="n"/>
    </row>
    <row r="5">
      <c r="A5" s="4" t="inlineStr">
        <is>
          <t>Tổng shop thị trường</t>
        </is>
      </c>
      <c r="B5" s="4">
        <f>COUNTA('01_MARKET_MASTER'!F4:F103)</f>
        <v/>
      </c>
      <c r="C5" s="4" t="inlineStr">
        <is>
          <t>Quy mô cơ hội</t>
        </is>
      </c>
      <c r="D5" s="2" t="n"/>
      <c r="E5" s="2" t="n"/>
      <c r="F5" s="2" t="n"/>
      <c r="G5" s="2" t="n"/>
    </row>
    <row r="6">
      <c r="A6" s="4" t="inlineStr">
        <is>
          <t>Shop đang mua DKX</t>
        </is>
      </c>
      <c r="B6" s="4">
        <f>COUNTIF('01_MARKET_MASTER'!I4:I103,"Có")</f>
        <v/>
      </c>
      <c r="C6" s="4" t="inlineStr">
        <is>
          <t>Coverage thực tế</t>
        </is>
      </c>
      <c r="D6" s="2" t="n"/>
      <c r="E6" s="2" t="n"/>
      <c r="F6" s="2" t="n"/>
      <c r="G6" s="2" t="n"/>
    </row>
    <row r="7">
      <c r="A7" s="4" t="inlineStr">
        <is>
          <t>Coverage DKX</t>
        </is>
      </c>
      <c r="B7" s="5">
        <f>IFERROR(B6/B5,0)</f>
        <v/>
      </c>
      <c r="C7" s="4" t="inlineStr">
        <is>
          <t>Nếu thấp: mở shop / kích hoạt</t>
        </is>
      </c>
      <c r="D7" s="2" t="n"/>
      <c r="E7" s="2" t="n"/>
      <c r="F7" s="2" t="n"/>
      <c r="G7" s="2" t="n"/>
    </row>
    <row r="8">
      <c r="A8" s="4" t="inlineStr">
        <is>
          <t>Active Shop 30D</t>
        </is>
      </c>
      <c r="B8" s="4">
        <f>SUM('02_NPP_MASTER'!I4:I53)</f>
        <v/>
      </c>
      <c r="C8" s="4" t="inlineStr">
        <is>
          <t>Nền doanh số</t>
        </is>
      </c>
      <c r="D8" s="2" t="n"/>
      <c r="E8" s="2" t="n"/>
      <c r="F8" s="2" t="n"/>
      <c r="G8" s="2" t="n"/>
    </row>
    <row r="9">
      <c r="A9" s="4" t="inlineStr">
        <is>
          <t>Dormant Shop</t>
        </is>
      </c>
      <c r="B9" s="4">
        <f>SUM('02_NPP_MASTER'!J4:J53)</f>
        <v/>
      </c>
      <c r="C9" s="4" t="inlineStr">
        <is>
          <t>Nguồn reactivation</t>
        </is>
      </c>
      <c r="D9" s="2" t="n"/>
      <c r="E9" s="2" t="n"/>
      <c r="F9" s="2" t="n"/>
      <c r="G9" s="2" t="n"/>
    </row>
    <row r="10">
      <c r="A10" s="4" t="inlineStr">
        <is>
          <t>Lost Shop</t>
        </is>
      </c>
      <c r="B10" s="4">
        <f>SUM('02_NPP_MASTER'!K4:K53)</f>
        <v/>
      </c>
      <c r="C10" s="4" t="inlineStr">
        <is>
          <t>Nguồn phục hồi</t>
        </is>
      </c>
      <c r="D10" s="2" t="n"/>
      <c r="E10" s="2" t="n"/>
      <c r="F10" s="2" t="n"/>
      <c r="G10" s="2" t="n"/>
    </row>
    <row r="11">
      <c r="A11" s="4" t="inlineStr">
        <is>
          <t>Doanh số T-1</t>
        </is>
      </c>
      <c r="B11" s="4">
        <f>SUM('02_NPP_MASTER'!N4:N53)</f>
        <v/>
      </c>
      <c r="C11" s="4" t="inlineStr">
        <is>
          <t>Baseline</t>
        </is>
      </c>
      <c r="D11" s="2" t="n"/>
      <c r="E11" s="2" t="n"/>
      <c r="F11" s="2" t="n"/>
      <c r="G11" s="2" t="n"/>
    </row>
    <row r="12">
      <c r="A12" s="4" t="inlineStr">
        <is>
          <t>Tồn kho NPP</t>
        </is>
      </c>
      <c r="B12" s="4">
        <f>SUM('02_NPP_MASTER'!O4:O53)</f>
        <v/>
      </c>
      <c r="C12" s="4" t="inlineStr">
        <is>
          <t>Cảnh báo sell-out</t>
        </is>
      </c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Top GAP</t>
        </is>
      </c>
      <c r="B15" s="3" t="inlineStr">
        <is>
          <t>NPP/Shop</t>
        </is>
      </c>
      <c r="C15" s="3" t="inlineStr">
        <is>
          <t>Root Cause</t>
        </is>
      </c>
      <c r="D15" s="3" t="inlineStr">
        <is>
          <t>Solution</t>
        </is>
      </c>
      <c r="E15" s="3" t="inlineStr">
        <is>
          <t>DS kỳ vọng</t>
        </is>
      </c>
      <c r="F15" s="3" t="inlineStr">
        <is>
          <t>Owner</t>
        </is>
      </c>
      <c r="G15" s="3" t="inlineStr">
        <is>
          <t>Deadline</t>
        </is>
      </c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2" customWidth="1" min="3" max="3"/>
    <col width="34" customWidth="1" min="4" max="4"/>
    <col width="30" customWidth="1" min="5" max="5"/>
    <col width="28" customWidth="1" min="6" max="6"/>
    <col width="24" customWidth="1" min="7" max="7"/>
    <col width="26" customWidth="1" min="8" max="8"/>
  </cols>
  <sheetData>
    <row r="1" ht="28" customHeight="1">
      <c r="A1" s="1" t="inlineStr">
        <is>
          <t>08 – NPP BUSINESS REVIEW | QUY TRÌNH LÀM VIỆC VỚI NPP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Bước</t>
        </is>
      </c>
      <c r="B3" s="3" t="inlineStr">
        <is>
          <t>Mục tiêu</t>
        </is>
      </c>
      <c r="C3" s="3" t="inlineStr">
        <is>
          <t>ASM chuẩn bị</t>
        </is>
      </c>
      <c r="D3" s="3" t="inlineStr">
        <is>
          <t>Câu hỏi</t>
        </is>
      </c>
      <c r="E3" s="3" t="inlineStr">
        <is>
          <t>Dữ liệu xác minh</t>
        </is>
      </c>
      <c r="F3" s="3" t="inlineStr">
        <is>
          <t>Kết luận</t>
        </is>
      </c>
      <c r="G3" s="3" t="inlineStr">
        <is>
          <t>Output</t>
        </is>
      </c>
      <c r="H3" s="3" t="inlineStr">
        <is>
          <t>Outcome</t>
        </is>
      </c>
    </row>
    <row r="4">
      <c r="A4" s="4" t="inlineStr">
        <is>
          <t>1. Prepare</t>
        </is>
      </c>
      <c r="B4" s="4" t="inlineStr">
        <is>
          <t>Hiểu NPP</t>
        </is>
      </c>
      <c r="C4" s="4" t="inlineStr">
        <is>
          <t>Sales 3-6M, shop, SKU, tồn, sell-out</t>
        </is>
      </c>
      <c r="D4" s="4" t="inlineStr">
        <is>
          <t>NPP đang ở đâu?</t>
        </is>
      </c>
      <c r="E4" s="4" t="inlineStr">
        <is>
          <t>Sales/coverage/SKU/tồn</t>
        </is>
      </c>
      <c r="F4" s="4" t="inlineStr">
        <is>
          <t>3 điểm tốt + 3 GAP</t>
        </is>
      </c>
      <c r="G4" s="4" t="inlineStr">
        <is>
          <t>Fact Pack</t>
        </is>
      </c>
      <c r="H4" s="4" t="inlineStr">
        <is>
          <t>Dữ liệu thống nhất</t>
        </is>
      </c>
    </row>
    <row r="5">
      <c r="A5" s="4" t="inlineStr">
        <is>
          <t>2. Market</t>
        </is>
      </c>
      <c r="B5" s="4" t="inlineStr">
        <is>
          <t>Hiểu cơ hội</t>
        </is>
      </c>
      <c r="C5" s="4" t="inlineStr">
        <is>
          <t>Market Master</t>
        </is>
      </c>
      <c r="D5" s="4" t="inlineStr">
        <is>
          <t>Còn bao nhiêu shop chưa khai thác?</t>
        </is>
      </c>
      <c r="E5" s="4" t="inlineStr">
        <is>
          <t>Tổng shop/coverage/đối thủ</t>
        </is>
      </c>
      <c r="F5" s="4" t="inlineStr">
        <is>
          <t>White space</t>
        </is>
      </c>
      <c r="G5" s="4" t="inlineStr">
        <is>
          <t>Opportunity Map</t>
        </is>
      </c>
      <c r="H5" s="4" t="inlineStr">
        <is>
          <t>Xác định cơ hội</t>
        </is>
      </c>
    </row>
    <row r="6">
      <c r="A6" s="4" t="inlineStr">
        <is>
          <t>3. Diagnose</t>
        </is>
      </c>
      <c r="B6" s="4" t="inlineStr">
        <is>
          <t>Tìm root cause</t>
        </is>
      </c>
      <c r="C6" s="4" t="inlineStr">
        <is>
          <t>Gap list</t>
        </is>
      </c>
      <c r="D6" s="4" t="inlineStr">
        <is>
          <t>Tại sao chưa đạt?</t>
        </is>
      </c>
      <c r="E6" s="4" t="inlineStr">
        <is>
          <t>Shop/salesman/SKU/inventory</t>
        </is>
      </c>
      <c r="F6" s="4" t="inlineStr">
        <is>
          <t>Root cause</t>
        </is>
      </c>
      <c r="G6" s="4" t="inlineStr">
        <is>
          <t>Root Cause List</t>
        </is>
      </c>
      <c r="H6" s="4" t="inlineStr">
        <is>
          <t>Chọn đúng vấn đề</t>
        </is>
      </c>
    </row>
    <row r="7">
      <c r="A7" s="4" t="inlineStr">
        <is>
          <t>4. Solution</t>
        </is>
      </c>
      <c r="B7" s="4" t="inlineStr">
        <is>
          <t>Thiết kế giải pháp</t>
        </is>
      </c>
      <c r="C7" s="4" t="inlineStr">
        <is>
          <t>Solution Matrix</t>
        </is>
      </c>
      <c r="D7" s="4" t="inlineStr">
        <is>
          <t>Giải pháp nào tạo tăng trưởng?</t>
        </is>
      </c>
      <c r="E7" s="4" t="inlineStr">
        <is>
          <t>Nguồn lực NPP/DKX</t>
        </is>
      </c>
      <c r="F7" s="4" t="inlineStr">
        <is>
          <t>Top 3-5 solution</t>
        </is>
      </c>
      <c r="G7" s="4" t="inlineStr">
        <is>
          <t>Solution Plan</t>
        </is>
      </c>
      <c r="H7" s="4" t="inlineStr">
        <is>
          <t>DS kỳ vọng</t>
        </is>
      </c>
    </row>
    <row r="8">
      <c r="A8" s="4" t="inlineStr">
        <is>
          <t>5. Commit</t>
        </is>
      </c>
      <c r="B8" s="4" t="inlineStr">
        <is>
          <t>Cam kết</t>
        </is>
      </c>
      <c r="C8" s="4" t="inlineStr">
        <is>
          <t>Growth Plan</t>
        </is>
      </c>
      <c r="D8" s="4" t="inlineStr">
        <is>
          <t>Ai làm, khi nào, bao nhiêu?</t>
        </is>
      </c>
      <c r="E8" s="4" t="inlineStr">
        <is>
          <t>Owner/deadline</t>
        </is>
      </c>
      <c r="F8" s="4" t="inlineStr">
        <is>
          <t>Target &amp; commitment</t>
        </is>
      </c>
      <c r="G8" s="4" t="inlineStr">
        <is>
          <t>Growth Plan</t>
        </is>
      </c>
      <c r="H8" s="4" t="inlineStr">
        <is>
          <t>Cam kết</t>
        </is>
      </c>
    </row>
    <row r="9">
      <c r="A9" s="4" t="inlineStr">
        <is>
          <t>6. Follow-up</t>
        </is>
      </c>
      <c r="B9" s="4" t="inlineStr">
        <is>
          <t>Đóng hành động</t>
        </is>
      </c>
      <c r="C9" s="4" t="inlineStr">
        <is>
          <t>Action Log</t>
        </is>
      </c>
      <c r="D9" s="4" t="inlineStr">
        <is>
          <t>Hành động nào tạo kết quả?</t>
        </is>
      </c>
      <c r="E9" s="4" t="inlineStr">
        <is>
          <t>Actual vs expected</t>
        </is>
      </c>
      <c r="F9" s="4" t="inlineStr">
        <is>
          <t>Keep/Stop/Adjust</t>
        </is>
      </c>
      <c r="G9" s="4" t="inlineStr">
        <is>
          <t>Review</t>
        </is>
      </c>
      <c r="H9" s="4" t="inlineStr">
        <is>
          <t>Tăng trưởng</t>
        </is>
      </c>
    </row>
  </sheetData>
  <autoFilter ref="A3:H9"/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22" customWidth="1" min="5" max="5"/>
    <col width="14" customWidth="1" min="6" max="6"/>
    <col width="22" customWidth="1" min="7" max="7"/>
    <col width="22" customWidth="1" min="8" max="8"/>
    <col width="16" customWidth="1" min="9" max="9"/>
    <col width="30" customWidth="1" min="10" max="10"/>
    <col width="26" customWidth="1" min="11" max="11"/>
    <col width="32" customWidth="1" min="12" max="12"/>
    <col width="30" customWidth="1" min="13" max="13"/>
    <col width="30" customWidth="1" min="14" max="14"/>
  </cols>
  <sheetData>
    <row r="1" ht="28" customHeight="1">
      <c r="A1" s="1" t="inlineStr">
        <is>
          <t>09 – MARKET &amp; COMPETITOR INTELLIGENCE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Ngày</t>
        </is>
      </c>
      <c r="B3" s="3" t="inlineStr">
        <is>
          <t>Địa bàn</t>
        </is>
      </c>
      <c r="C3" s="3" t="inlineStr">
        <is>
          <t>NPP</t>
        </is>
      </c>
      <c r="D3" s="3" t="inlineStr">
        <is>
          <t>Đối thủ</t>
        </is>
      </c>
      <c r="E3" s="3" t="inlineStr">
        <is>
          <t>Sản phẩm</t>
        </is>
      </c>
      <c r="F3" s="3" t="inlineStr">
        <is>
          <t>Giá</t>
        </is>
      </c>
      <c r="G3" s="3" t="inlineStr">
        <is>
          <t>Chính sách NPP</t>
        </is>
      </c>
      <c r="H3" s="3" t="inlineStr">
        <is>
          <t>Chính sách Shop</t>
        </is>
      </c>
      <c r="I3" s="3" t="inlineStr">
        <is>
          <t>Độ phủ</t>
        </is>
      </c>
      <c r="J3" s="3" t="inlineStr">
        <is>
          <t>USP</t>
        </is>
      </c>
      <c r="K3" s="3" t="inlineStr">
        <is>
          <t>Điểm yếu</t>
        </is>
      </c>
      <c r="L3" s="3" t="inlineStr">
        <is>
          <t>Phản hồi Shop</t>
        </is>
      </c>
      <c r="M3" s="3" t="inlineStr">
        <is>
          <t>Cơ hội DKX</t>
        </is>
      </c>
      <c r="N3" s="3" t="inlineStr">
        <is>
          <t>Hành động ASM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</sheetData>
  <autoFilter ref="A3:N153"/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4" customWidth="1" min="4" max="4"/>
    <col width="28" customWidth="1" min="5" max="5"/>
    <col width="32" customWidth="1" min="6" max="6"/>
    <col width="18" customWidth="1" min="7" max="7"/>
    <col width="14" customWidth="1" min="8" max="8"/>
    <col width="18" customWidth="1" min="9" max="9"/>
    <col width="16" customWidth="1" min="10" max="10"/>
    <col width="12" customWidth="1" min="11" max="11"/>
    <col width="14" customWidth="1" min="12" max="12"/>
    <col width="28" customWidth="1" min="13" max="13"/>
    <col width="30" customWidth="1" min="14" max="14"/>
    <col width="14" customWidth="1" min="15" max="15"/>
  </cols>
  <sheetData>
    <row r="1" ht="28" customHeight="1">
      <c r="A1" s="1" t="inlineStr">
        <is>
          <t>10 – ASM ACTION LOG | GAP → ACTION → RESULT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Ngày</t>
        </is>
      </c>
      <c r="B3" s="3" t="inlineStr">
        <is>
          <t>ASM</t>
        </is>
      </c>
      <c r="C3" s="3" t="inlineStr">
        <is>
          <t>NPP/Shop</t>
        </is>
      </c>
      <c r="D3" s="3" t="inlineStr">
        <is>
          <t>GAP</t>
        </is>
      </c>
      <c r="E3" s="3" t="inlineStr">
        <is>
          <t>Root Cause</t>
        </is>
      </c>
      <c r="F3" s="3" t="inlineStr">
        <is>
          <t>Action</t>
        </is>
      </c>
      <c r="G3" s="3" t="inlineStr">
        <is>
          <t>Owner</t>
        </is>
      </c>
      <c r="H3" s="3" t="inlineStr">
        <is>
          <t>Deadline</t>
        </is>
      </c>
      <c r="I3" s="3" t="inlineStr">
        <is>
          <t>DS kỳ vọng</t>
        </is>
      </c>
      <c r="J3" s="3" t="inlineStr">
        <is>
          <t>Actual</t>
        </is>
      </c>
      <c r="K3" s="3" t="inlineStr">
        <is>
          <t>% đạt</t>
        </is>
      </c>
      <c r="L3" s="3" t="inlineStr">
        <is>
          <t>Trạng thái</t>
        </is>
      </c>
      <c r="M3" s="3" t="inlineStr">
        <is>
          <t>Vướng mắc</t>
        </is>
      </c>
      <c r="N3" s="3" t="inlineStr">
        <is>
          <t>Điều chỉnh</t>
        </is>
      </c>
      <c r="O3" s="3" t="inlineStr">
        <is>
          <t>Ngày đóng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5">
        <f>IFERROR(J4/I4,0)</f>
        <v/>
      </c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5">
        <f>IFERROR(J5/I5,0)</f>
        <v/>
      </c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5">
        <f>IFERROR(J6/I6,0)</f>
        <v/>
      </c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5">
        <f>IFERROR(J7/I7,0)</f>
        <v/>
      </c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5">
        <f>IFERROR(J8/I8,0)</f>
        <v/>
      </c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5">
        <f>IFERROR(J9/I9,0)</f>
        <v/>
      </c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5">
        <f>IFERROR(J10/I10,0)</f>
        <v/>
      </c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5">
        <f>IFERROR(J11/I11,0)</f>
        <v/>
      </c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5">
        <f>IFERROR(J12/I12,0)</f>
        <v/>
      </c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5">
        <f>IFERROR(J13/I13,0)</f>
        <v/>
      </c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5">
        <f>IFERROR(J14/I14,0)</f>
        <v/>
      </c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5">
        <f>IFERROR(J15/I15,0)</f>
        <v/>
      </c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5">
        <f>IFERROR(J16/I16,0)</f>
        <v/>
      </c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5">
        <f>IFERROR(J17/I17,0)</f>
        <v/>
      </c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5">
        <f>IFERROR(J18/I18,0)</f>
        <v/>
      </c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5">
        <f>IFERROR(J19/I19,0)</f>
        <v/>
      </c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5">
        <f>IFERROR(J20/I20,0)</f>
        <v/>
      </c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5">
        <f>IFERROR(J21/I21,0)</f>
        <v/>
      </c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5">
        <f>IFERROR(J22/I22,0)</f>
        <v/>
      </c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5">
        <f>IFERROR(J23/I23,0)</f>
        <v/>
      </c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5">
        <f>IFERROR(J24/I24,0)</f>
        <v/>
      </c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5">
        <f>IFERROR(J25/I25,0)</f>
        <v/>
      </c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>
        <f>IFERROR(J26/I26,0)</f>
        <v/>
      </c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5">
        <f>IFERROR(J27/I27,0)</f>
        <v/>
      </c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5">
        <f>IFERROR(J28/I28,0)</f>
        <v/>
      </c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5">
        <f>IFERROR(J29/I29,0)</f>
        <v/>
      </c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5">
        <f>IFERROR(J30/I30,0)</f>
        <v/>
      </c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5">
        <f>IFERROR(J31/I31,0)</f>
        <v/>
      </c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5">
        <f>IFERROR(J32/I32,0)</f>
        <v/>
      </c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5">
        <f>IFERROR(J33/I33,0)</f>
        <v/>
      </c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5">
        <f>IFERROR(J34/I34,0)</f>
        <v/>
      </c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5">
        <f>IFERROR(J35/I35,0)</f>
        <v/>
      </c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5">
        <f>IFERROR(J36/I36,0)</f>
        <v/>
      </c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5">
        <f>IFERROR(J37/I37,0)</f>
        <v/>
      </c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5">
        <f>IFERROR(J38/I38,0)</f>
        <v/>
      </c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5">
        <f>IFERROR(J39/I39,0)</f>
        <v/>
      </c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5">
        <f>IFERROR(J40/I40,0)</f>
        <v/>
      </c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5">
        <f>IFERROR(J41/I41,0)</f>
        <v/>
      </c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5">
        <f>IFERROR(J42/I42,0)</f>
        <v/>
      </c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5">
        <f>IFERROR(J43/I43,0)</f>
        <v/>
      </c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5">
        <f>IFERROR(J44/I44,0)</f>
        <v/>
      </c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5">
        <f>IFERROR(J45/I45,0)</f>
        <v/>
      </c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5">
        <f>IFERROR(J46/I46,0)</f>
        <v/>
      </c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5">
        <f>IFERROR(J47/I47,0)</f>
        <v/>
      </c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5">
        <f>IFERROR(J48/I48,0)</f>
        <v/>
      </c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5">
        <f>IFERROR(J49/I49,0)</f>
        <v/>
      </c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5">
        <f>IFERROR(J50/I50,0)</f>
        <v/>
      </c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5">
        <f>IFERROR(J51/I51,0)</f>
        <v/>
      </c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5">
        <f>IFERROR(J52/I52,0)</f>
        <v/>
      </c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5">
        <f>IFERROR(J53/I53,0)</f>
        <v/>
      </c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5">
        <f>IFERROR(J54/I54,0)</f>
        <v/>
      </c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5">
        <f>IFERROR(J55/I55,0)</f>
        <v/>
      </c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5">
        <f>IFERROR(J56/I56,0)</f>
        <v/>
      </c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5">
        <f>IFERROR(J57/I57,0)</f>
        <v/>
      </c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5">
        <f>IFERROR(J58/I58,0)</f>
        <v/>
      </c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5">
        <f>IFERROR(J59/I59,0)</f>
        <v/>
      </c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5">
        <f>IFERROR(J60/I60,0)</f>
        <v/>
      </c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5">
        <f>IFERROR(J61/I61,0)</f>
        <v/>
      </c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5">
        <f>IFERROR(J62/I62,0)</f>
        <v/>
      </c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5">
        <f>IFERROR(J63/I63,0)</f>
        <v/>
      </c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5">
        <f>IFERROR(J64/I64,0)</f>
        <v/>
      </c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">
        <f>IFERROR(J65/I65,0)</f>
        <v/>
      </c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5">
        <f>IFERROR(J66/I66,0)</f>
        <v/>
      </c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5">
        <f>IFERROR(J67/I67,0)</f>
        <v/>
      </c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5">
        <f>IFERROR(J68/I68,0)</f>
        <v/>
      </c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5">
        <f>IFERROR(J69/I69,0)</f>
        <v/>
      </c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5">
        <f>IFERROR(J70/I70,0)</f>
        <v/>
      </c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5">
        <f>IFERROR(J71/I71,0)</f>
        <v/>
      </c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5">
        <f>IFERROR(J72/I72,0)</f>
        <v/>
      </c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5">
        <f>IFERROR(J73/I73,0)</f>
        <v/>
      </c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5">
        <f>IFERROR(J74/I74,0)</f>
        <v/>
      </c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">
        <f>IFERROR(J75/I75,0)</f>
        <v/>
      </c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5">
        <f>IFERROR(J76/I76,0)</f>
        <v/>
      </c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5">
        <f>IFERROR(J77/I77,0)</f>
        <v/>
      </c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5">
        <f>IFERROR(J78/I78,0)</f>
        <v/>
      </c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5">
        <f>IFERROR(J79/I79,0)</f>
        <v/>
      </c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5">
        <f>IFERROR(J80/I80,0)</f>
        <v/>
      </c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5">
        <f>IFERROR(J81/I81,0)</f>
        <v/>
      </c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5">
        <f>IFERROR(J82/I82,0)</f>
        <v/>
      </c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5">
        <f>IFERROR(J83/I83,0)</f>
        <v/>
      </c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5">
        <f>IFERROR(J84/I84,0)</f>
        <v/>
      </c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5">
        <f>IFERROR(J85/I85,0)</f>
        <v/>
      </c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5">
        <f>IFERROR(J86/I86,0)</f>
        <v/>
      </c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5">
        <f>IFERROR(J87/I87,0)</f>
        <v/>
      </c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5">
        <f>IFERROR(J88/I88,0)</f>
        <v/>
      </c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5">
        <f>IFERROR(J89/I89,0)</f>
        <v/>
      </c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5">
        <f>IFERROR(J90/I90,0)</f>
        <v/>
      </c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5">
        <f>IFERROR(J91/I91,0)</f>
        <v/>
      </c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5">
        <f>IFERROR(J92/I92,0)</f>
        <v/>
      </c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5">
        <f>IFERROR(J93/I93,0)</f>
        <v/>
      </c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5">
        <f>IFERROR(J94/I94,0)</f>
        <v/>
      </c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5">
        <f>IFERROR(J95/I95,0)</f>
        <v/>
      </c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5">
        <f>IFERROR(J96/I96,0)</f>
        <v/>
      </c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5">
        <f>IFERROR(J97/I97,0)</f>
        <v/>
      </c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5">
        <f>IFERROR(J98/I98,0)</f>
        <v/>
      </c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5">
        <f>IFERROR(J99/I99,0)</f>
        <v/>
      </c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5">
        <f>IFERROR(J100/I100,0)</f>
        <v/>
      </c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5">
        <f>IFERROR(J101/I101,0)</f>
        <v/>
      </c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5">
        <f>IFERROR(J102/I102,0)</f>
        <v/>
      </c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5">
        <f>IFERROR(J103/I103,0)</f>
        <v/>
      </c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5">
        <f>IFERROR(J104/I104,0)</f>
        <v/>
      </c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5">
        <f>IFERROR(J105/I105,0)</f>
        <v/>
      </c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5">
        <f>IFERROR(J106/I106,0)</f>
        <v/>
      </c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5">
        <f>IFERROR(J107/I107,0)</f>
        <v/>
      </c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5">
        <f>IFERROR(J108/I108,0)</f>
        <v/>
      </c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5">
        <f>IFERROR(J109/I109,0)</f>
        <v/>
      </c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5">
        <f>IFERROR(J110/I110,0)</f>
        <v/>
      </c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5">
        <f>IFERROR(J111/I111,0)</f>
        <v/>
      </c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5">
        <f>IFERROR(J112/I112,0)</f>
        <v/>
      </c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5">
        <f>IFERROR(J113/I113,0)</f>
        <v/>
      </c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5">
        <f>IFERROR(J114/I114,0)</f>
        <v/>
      </c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5">
        <f>IFERROR(J115/I115,0)</f>
        <v/>
      </c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5">
        <f>IFERROR(J116/I116,0)</f>
        <v/>
      </c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5">
        <f>IFERROR(J117/I117,0)</f>
        <v/>
      </c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5">
        <f>IFERROR(J118/I118,0)</f>
        <v/>
      </c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5">
        <f>IFERROR(J119/I119,0)</f>
        <v/>
      </c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5">
        <f>IFERROR(J120/I120,0)</f>
        <v/>
      </c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5">
        <f>IFERROR(J121/I121,0)</f>
        <v/>
      </c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5">
        <f>IFERROR(J122/I122,0)</f>
        <v/>
      </c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5">
        <f>IFERROR(J123/I123,0)</f>
        <v/>
      </c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5">
        <f>IFERROR(J124/I124,0)</f>
        <v/>
      </c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5">
        <f>IFERROR(J125/I125,0)</f>
        <v/>
      </c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5">
        <f>IFERROR(J126/I126,0)</f>
        <v/>
      </c>
      <c r="L126" s="4" t="n"/>
      <c r="M126" s="4" t="n"/>
      <c r="N126" s="4" t="n"/>
      <c r="O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5">
        <f>IFERROR(J127/I127,0)</f>
        <v/>
      </c>
      <c r="L127" s="4" t="n"/>
      <c r="M127" s="4" t="n"/>
      <c r="N127" s="4" t="n"/>
      <c r="O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5">
        <f>IFERROR(J128/I128,0)</f>
        <v/>
      </c>
      <c r="L128" s="4" t="n"/>
      <c r="M128" s="4" t="n"/>
      <c r="N128" s="4" t="n"/>
      <c r="O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5">
        <f>IFERROR(J129/I129,0)</f>
        <v/>
      </c>
      <c r="L129" s="4" t="n"/>
      <c r="M129" s="4" t="n"/>
      <c r="N129" s="4" t="n"/>
      <c r="O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5">
        <f>IFERROR(J130/I130,0)</f>
        <v/>
      </c>
      <c r="L130" s="4" t="n"/>
      <c r="M130" s="4" t="n"/>
      <c r="N130" s="4" t="n"/>
      <c r="O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5">
        <f>IFERROR(J131/I131,0)</f>
        <v/>
      </c>
      <c r="L131" s="4" t="n"/>
      <c r="M131" s="4" t="n"/>
      <c r="N131" s="4" t="n"/>
      <c r="O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5">
        <f>IFERROR(J132/I132,0)</f>
        <v/>
      </c>
      <c r="L132" s="4" t="n"/>
      <c r="M132" s="4" t="n"/>
      <c r="N132" s="4" t="n"/>
      <c r="O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5">
        <f>IFERROR(J133/I133,0)</f>
        <v/>
      </c>
      <c r="L133" s="4" t="n"/>
      <c r="M133" s="4" t="n"/>
      <c r="N133" s="4" t="n"/>
      <c r="O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5">
        <f>IFERROR(J134/I134,0)</f>
        <v/>
      </c>
      <c r="L134" s="4" t="n"/>
      <c r="M134" s="4" t="n"/>
      <c r="N134" s="4" t="n"/>
      <c r="O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5">
        <f>IFERROR(J135/I135,0)</f>
        <v/>
      </c>
      <c r="L135" s="4" t="n"/>
      <c r="M135" s="4" t="n"/>
      <c r="N135" s="4" t="n"/>
      <c r="O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5">
        <f>IFERROR(J136/I136,0)</f>
        <v/>
      </c>
      <c r="L136" s="4" t="n"/>
      <c r="M136" s="4" t="n"/>
      <c r="N136" s="4" t="n"/>
      <c r="O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5">
        <f>IFERROR(J137/I137,0)</f>
        <v/>
      </c>
      <c r="L137" s="4" t="n"/>
      <c r="M137" s="4" t="n"/>
      <c r="N137" s="4" t="n"/>
      <c r="O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5">
        <f>IFERROR(J138/I138,0)</f>
        <v/>
      </c>
      <c r="L138" s="4" t="n"/>
      <c r="M138" s="4" t="n"/>
      <c r="N138" s="4" t="n"/>
      <c r="O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5">
        <f>IFERROR(J139/I139,0)</f>
        <v/>
      </c>
      <c r="L139" s="4" t="n"/>
      <c r="M139" s="4" t="n"/>
      <c r="N139" s="4" t="n"/>
      <c r="O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5">
        <f>IFERROR(J140/I140,0)</f>
        <v/>
      </c>
      <c r="L140" s="4" t="n"/>
      <c r="M140" s="4" t="n"/>
      <c r="N140" s="4" t="n"/>
      <c r="O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5">
        <f>IFERROR(J141/I141,0)</f>
        <v/>
      </c>
      <c r="L141" s="4" t="n"/>
      <c r="M141" s="4" t="n"/>
      <c r="N141" s="4" t="n"/>
      <c r="O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5">
        <f>IFERROR(J142/I142,0)</f>
        <v/>
      </c>
      <c r="L142" s="4" t="n"/>
      <c r="M142" s="4" t="n"/>
      <c r="N142" s="4" t="n"/>
      <c r="O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5">
        <f>IFERROR(J143/I143,0)</f>
        <v/>
      </c>
      <c r="L143" s="4" t="n"/>
      <c r="M143" s="4" t="n"/>
      <c r="N143" s="4" t="n"/>
      <c r="O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5">
        <f>IFERROR(J144/I144,0)</f>
        <v/>
      </c>
      <c r="L144" s="4" t="n"/>
      <c r="M144" s="4" t="n"/>
      <c r="N144" s="4" t="n"/>
      <c r="O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5">
        <f>IFERROR(J145/I145,0)</f>
        <v/>
      </c>
      <c r="L145" s="4" t="n"/>
      <c r="M145" s="4" t="n"/>
      <c r="N145" s="4" t="n"/>
      <c r="O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5">
        <f>IFERROR(J146/I146,0)</f>
        <v/>
      </c>
      <c r="L146" s="4" t="n"/>
      <c r="M146" s="4" t="n"/>
      <c r="N146" s="4" t="n"/>
      <c r="O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5">
        <f>IFERROR(J147/I147,0)</f>
        <v/>
      </c>
      <c r="L147" s="4" t="n"/>
      <c r="M147" s="4" t="n"/>
      <c r="N147" s="4" t="n"/>
      <c r="O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5">
        <f>IFERROR(J148/I148,0)</f>
        <v/>
      </c>
      <c r="L148" s="4" t="n"/>
      <c r="M148" s="4" t="n"/>
      <c r="N148" s="4" t="n"/>
      <c r="O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5">
        <f>IFERROR(J149/I149,0)</f>
        <v/>
      </c>
      <c r="L149" s="4" t="n"/>
      <c r="M149" s="4" t="n"/>
      <c r="N149" s="4" t="n"/>
      <c r="O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5">
        <f>IFERROR(J150/I150,0)</f>
        <v/>
      </c>
      <c r="L150" s="4" t="n"/>
      <c r="M150" s="4" t="n"/>
      <c r="N150" s="4" t="n"/>
      <c r="O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5">
        <f>IFERROR(J151/I151,0)</f>
        <v/>
      </c>
      <c r="L151" s="4" t="n"/>
      <c r="M151" s="4" t="n"/>
      <c r="N151" s="4" t="n"/>
      <c r="O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5">
        <f>IFERROR(J152/I152,0)</f>
        <v/>
      </c>
      <c r="L152" s="4" t="n"/>
      <c r="M152" s="4" t="n"/>
      <c r="N152" s="4" t="n"/>
      <c r="O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5">
        <f>IFERROR(J153/I153,0)</f>
        <v/>
      </c>
      <c r="L153" s="4" t="n"/>
      <c r="M153" s="4" t="n"/>
      <c r="N153" s="4" t="n"/>
      <c r="O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5">
        <f>IFERROR(J154/I154,0)</f>
        <v/>
      </c>
      <c r="L154" s="4" t="n"/>
      <c r="M154" s="4" t="n"/>
      <c r="N154" s="4" t="n"/>
      <c r="O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5">
        <f>IFERROR(J155/I155,0)</f>
        <v/>
      </c>
      <c r="L155" s="4" t="n"/>
      <c r="M155" s="4" t="n"/>
      <c r="N155" s="4" t="n"/>
      <c r="O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5">
        <f>IFERROR(J156/I156,0)</f>
        <v/>
      </c>
      <c r="L156" s="4" t="n"/>
      <c r="M156" s="4" t="n"/>
      <c r="N156" s="4" t="n"/>
      <c r="O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5">
        <f>IFERROR(J157/I157,0)</f>
        <v/>
      </c>
      <c r="L157" s="4" t="n"/>
      <c r="M157" s="4" t="n"/>
      <c r="N157" s="4" t="n"/>
      <c r="O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5">
        <f>IFERROR(J158/I158,0)</f>
        <v/>
      </c>
      <c r="L158" s="4" t="n"/>
      <c r="M158" s="4" t="n"/>
      <c r="N158" s="4" t="n"/>
      <c r="O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5">
        <f>IFERROR(J159/I159,0)</f>
        <v/>
      </c>
      <c r="L159" s="4" t="n"/>
      <c r="M159" s="4" t="n"/>
      <c r="N159" s="4" t="n"/>
      <c r="O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5">
        <f>IFERROR(J160/I160,0)</f>
        <v/>
      </c>
      <c r="L160" s="4" t="n"/>
      <c r="M160" s="4" t="n"/>
      <c r="N160" s="4" t="n"/>
      <c r="O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5">
        <f>IFERROR(J161/I161,0)</f>
        <v/>
      </c>
      <c r="L161" s="4" t="n"/>
      <c r="M161" s="4" t="n"/>
      <c r="N161" s="4" t="n"/>
      <c r="O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5">
        <f>IFERROR(J162/I162,0)</f>
        <v/>
      </c>
      <c r="L162" s="4" t="n"/>
      <c r="M162" s="4" t="n"/>
      <c r="N162" s="4" t="n"/>
      <c r="O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5">
        <f>IFERROR(J163/I163,0)</f>
        <v/>
      </c>
      <c r="L163" s="4" t="n"/>
      <c r="M163" s="4" t="n"/>
      <c r="N163" s="4" t="n"/>
      <c r="O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5">
        <f>IFERROR(J164/I164,0)</f>
        <v/>
      </c>
      <c r="L164" s="4" t="n"/>
      <c r="M164" s="4" t="n"/>
      <c r="N164" s="4" t="n"/>
      <c r="O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5">
        <f>IFERROR(J165/I165,0)</f>
        <v/>
      </c>
      <c r="L165" s="4" t="n"/>
      <c r="M165" s="4" t="n"/>
      <c r="N165" s="4" t="n"/>
      <c r="O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5">
        <f>IFERROR(J166/I166,0)</f>
        <v/>
      </c>
      <c r="L166" s="4" t="n"/>
      <c r="M166" s="4" t="n"/>
      <c r="N166" s="4" t="n"/>
      <c r="O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5">
        <f>IFERROR(J167/I167,0)</f>
        <v/>
      </c>
      <c r="L167" s="4" t="n"/>
      <c r="M167" s="4" t="n"/>
      <c r="N167" s="4" t="n"/>
      <c r="O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5">
        <f>IFERROR(J168/I168,0)</f>
        <v/>
      </c>
      <c r="L168" s="4" t="n"/>
      <c r="M168" s="4" t="n"/>
      <c r="N168" s="4" t="n"/>
      <c r="O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5">
        <f>IFERROR(J169/I169,0)</f>
        <v/>
      </c>
      <c r="L169" s="4" t="n"/>
      <c r="M169" s="4" t="n"/>
      <c r="N169" s="4" t="n"/>
      <c r="O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5">
        <f>IFERROR(J170/I170,0)</f>
        <v/>
      </c>
      <c r="L170" s="4" t="n"/>
      <c r="M170" s="4" t="n"/>
      <c r="N170" s="4" t="n"/>
      <c r="O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5">
        <f>IFERROR(J171/I171,0)</f>
        <v/>
      </c>
      <c r="L171" s="4" t="n"/>
      <c r="M171" s="4" t="n"/>
      <c r="N171" s="4" t="n"/>
      <c r="O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5">
        <f>IFERROR(J172/I172,0)</f>
        <v/>
      </c>
      <c r="L172" s="4" t="n"/>
      <c r="M172" s="4" t="n"/>
      <c r="N172" s="4" t="n"/>
      <c r="O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5">
        <f>IFERROR(J173/I173,0)</f>
        <v/>
      </c>
      <c r="L173" s="4" t="n"/>
      <c r="M173" s="4" t="n"/>
      <c r="N173" s="4" t="n"/>
      <c r="O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5">
        <f>IFERROR(J174/I174,0)</f>
        <v/>
      </c>
      <c r="L174" s="4" t="n"/>
      <c r="M174" s="4" t="n"/>
      <c r="N174" s="4" t="n"/>
      <c r="O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5">
        <f>IFERROR(J175/I175,0)</f>
        <v/>
      </c>
      <c r="L175" s="4" t="n"/>
      <c r="M175" s="4" t="n"/>
      <c r="N175" s="4" t="n"/>
      <c r="O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5">
        <f>IFERROR(J176/I176,0)</f>
        <v/>
      </c>
      <c r="L176" s="4" t="n"/>
      <c r="M176" s="4" t="n"/>
      <c r="N176" s="4" t="n"/>
      <c r="O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5">
        <f>IFERROR(J177/I177,0)</f>
        <v/>
      </c>
      <c r="L177" s="4" t="n"/>
      <c r="M177" s="4" t="n"/>
      <c r="N177" s="4" t="n"/>
      <c r="O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5">
        <f>IFERROR(J178/I178,0)</f>
        <v/>
      </c>
      <c r="L178" s="4" t="n"/>
      <c r="M178" s="4" t="n"/>
      <c r="N178" s="4" t="n"/>
      <c r="O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5">
        <f>IFERROR(J179/I179,0)</f>
        <v/>
      </c>
      <c r="L179" s="4" t="n"/>
      <c r="M179" s="4" t="n"/>
      <c r="N179" s="4" t="n"/>
      <c r="O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5">
        <f>IFERROR(J180/I180,0)</f>
        <v/>
      </c>
      <c r="L180" s="4" t="n"/>
      <c r="M180" s="4" t="n"/>
      <c r="N180" s="4" t="n"/>
      <c r="O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5">
        <f>IFERROR(J181/I181,0)</f>
        <v/>
      </c>
      <c r="L181" s="4" t="n"/>
      <c r="M181" s="4" t="n"/>
      <c r="N181" s="4" t="n"/>
      <c r="O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5">
        <f>IFERROR(J182/I182,0)</f>
        <v/>
      </c>
      <c r="L182" s="4" t="n"/>
      <c r="M182" s="4" t="n"/>
      <c r="N182" s="4" t="n"/>
      <c r="O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5">
        <f>IFERROR(J183/I183,0)</f>
        <v/>
      </c>
      <c r="L183" s="4" t="n"/>
      <c r="M183" s="4" t="n"/>
      <c r="N183" s="4" t="n"/>
      <c r="O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5">
        <f>IFERROR(J184/I184,0)</f>
        <v/>
      </c>
      <c r="L184" s="4" t="n"/>
      <c r="M184" s="4" t="n"/>
      <c r="N184" s="4" t="n"/>
      <c r="O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5">
        <f>IFERROR(J185/I185,0)</f>
        <v/>
      </c>
      <c r="L185" s="4" t="n"/>
      <c r="M185" s="4" t="n"/>
      <c r="N185" s="4" t="n"/>
      <c r="O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5">
        <f>IFERROR(J186/I186,0)</f>
        <v/>
      </c>
      <c r="L186" s="4" t="n"/>
      <c r="M186" s="4" t="n"/>
      <c r="N186" s="4" t="n"/>
      <c r="O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5">
        <f>IFERROR(J187/I187,0)</f>
        <v/>
      </c>
      <c r="L187" s="4" t="n"/>
      <c r="M187" s="4" t="n"/>
      <c r="N187" s="4" t="n"/>
      <c r="O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5">
        <f>IFERROR(J188/I188,0)</f>
        <v/>
      </c>
      <c r="L188" s="4" t="n"/>
      <c r="M188" s="4" t="n"/>
      <c r="N188" s="4" t="n"/>
      <c r="O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5">
        <f>IFERROR(J189/I189,0)</f>
        <v/>
      </c>
      <c r="L189" s="4" t="n"/>
      <c r="M189" s="4" t="n"/>
      <c r="N189" s="4" t="n"/>
      <c r="O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5">
        <f>IFERROR(J190/I190,0)</f>
        <v/>
      </c>
      <c r="L190" s="4" t="n"/>
      <c r="M190" s="4" t="n"/>
      <c r="N190" s="4" t="n"/>
      <c r="O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5">
        <f>IFERROR(J191/I191,0)</f>
        <v/>
      </c>
      <c r="L191" s="4" t="n"/>
      <c r="M191" s="4" t="n"/>
      <c r="N191" s="4" t="n"/>
      <c r="O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5">
        <f>IFERROR(J192/I192,0)</f>
        <v/>
      </c>
      <c r="L192" s="4" t="n"/>
      <c r="M192" s="4" t="n"/>
      <c r="N192" s="4" t="n"/>
      <c r="O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5">
        <f>IFERROR(J193/I193,0)</f>
        <v/>
      </c>
      <c r="L193" s="4" t="n"/>
      <c r="M193" s="4" t="n"/>
      <c r="N193" s="4" t="n"/>
      <c r="O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5">
        <f>IFERROR(J194/I194,0)</f>
        <v/>
      </c>
      <c r="L194" s="4" t="n"/>
      <c r="M194" s="4" t="n"/>
      <c r="N194" s="4" t="n"/>
      <c r="O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5">
        <f>IFERROR(J195/I195,0)</f>
        <v/>
      </c>
      <c r="L195" s="4" t="n"/>
      <c r="M195" s="4" t="n"/>
      <c r="N195" s="4" t="n"/>
      <c r="O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5">
        <f>IFERROR(J196/I196,0)</f>
        <v/>
      </c>
      <c r="L196" s="4" t="n"/>
      <c r="M196" s="4" t="n"/>
      <c r="N196" s="4" t="n"/>
      <c r="O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5">
        <f>IFERROR(J197/I197,0)</f>
        <v/>
      </c>
      <c r="L197" s="4" t="n"/>
      <c r="M197" s="4" t="n"/>
      <c r="N197" s="4" t="n"/>
      <c r="O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5">
        <f>IFERROR(J198/I198,0)</f>
        <v/>
      </c>
      <c r="L198" s="4" t="n"/>
      <c r="M198" s="4" t="n"/>
      <c r="N198" s="4" t="n"/>
      <c r="O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5">
        <f>IFERROR(J199/I199,0)</f>
        <v/>
      </c>
      <c r="L199" s="4" t="n"/>
      <c r="M199" s="4" t="n"/>
      <c r="N199" s="4" t="n"/>
      <c r="O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5">
        <f>IFERROR(J200/I200,0)</f>
        <v/>
      </c>
      <c r="L200" s="4" t="n"/>
      <c r="M200" s="4" t="n"/>
      <c r="N200" s="4" t="n"/>
      <c r="O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5">
        <f>IFERROR(J201/I201,0)</f>
        <v/>
      </c>
      <c r="L201" s="4" t="n"/>
      <c r="M201" s="4" t="n"/>
      <c r="N201" s="4" t="n"/>
      <c r="O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5">
        <f>IFERROR(J202/I202,0)</f>
        <v/>
      </c>
      <c r="L202" s="4" t="n"/>
      <c r="M202" s="4" t="n"/>
      <c r="N202" s="4" t="n"/>
      <c r="O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5">
        <f>IFERROR(J203/I203,0)</f>
        <v/>
      </c>
      <c r="L203" s="4" t="n"/>
      <c r="M203" s="4" t="n"/>
      <c r="N203" s="4" t="n"/>
      <c r="O203" s="4" t="n"/>
    </row>
  </sheetData>
  <autoFilter ref="A3:O203"/>
  <mergeCells count="1">
    <mergeCell ref="A1:O1"/>
  </mergeCells>
  <dataValidations count="1">
    <dataValidation sqref="L4:L203" showDropDown="0" showInputMessage="0" showErrorMessage="0" allowBlank="0" type="list">
      <formula1>"Open,Doing,Done,Blocked"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34" customWidth="1" min="4" max="4"/>
    <col width="26" customWidth="1" min="5" max="5"/>
    <col width="16" customWidth="1" min="6" max="6"/>
    <col width="16" customWidth="1" min="7" max="7"/>
    <col width="12" customWidth="1" min="8" max="8"/>
    <col width="14" customWidth="1" min="9" max="9"/>
    <col width="28" customWidth="1" min="10" max="10"/>
  </cols>
  <sheetData>
    <row r="1" ht="28" customHeight="1">
      <c r="A1" s="1" t="inlineStr">
        <is>
          <t>11 – KPI ASM | ĐO KẾT QUẢ + NĂNG LỰC QUẢN TRỊ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Nhóm</t>
        </is>
      </c>
      <c r="B3" s="3" t="inlineStr">
        <is>
          <t>KPI</t>
        </is>
      </c>
      <c r="C3" s="3" t="inlineStr">
        <is>
          <t>Trọng số</t>
        </is>
      </c>
      <c r="D3" s="3" t="inlineStr">
        <is>
          <t>Cách đo</t>
        </is>
      </c>
      <c r="E3" s="3" t="inlineStr">
        <is>
          <t>Nguồn dữ liệu</t>
        </is>
      </c>
      <c r="F3" s="3" t="inlineStr">
        <is>
          <t>Target</t>
        </is>
      </c>
      <c r="G3" s="3" t="inlineStr">
        <is>
          <t>Actual</t>
        </is>
      </c>
      <c r="H3" s="3" t="inlineStr">
        <is>
          <t>% đạt</t>
        </is>
      </c>
      <c r="I3" s="3" t="inlineStr">
        <is>
          <t>Điểm</t>
        </is>
      </c>
      <c r="J3" s="3" t="inlineStr">
        <is>
          <t>Ghi chú</t>
        </is>
      </c>
    </row>
    <row r="4">
      <c r="A4" s="4" t="inlineStr">
        <is>
          <t>RESULT</t>
        </is>
      </c>
      <c r="B4" s="4" t="inlineStr">
        <is>
          <t>Doanh số địa bàn</t>
        </is>
      </c>
      <c r="C4" s="4" t="n">
        <v>40</v>
      </c>
      <c r="D4" s="4" t="inlineStr">
        <is>
          <t>Actual/Target</t>
        </is>
      </c>
      <c r="E4" s="4" t="inlineStr">
        <is>
          <t>Sales report</t>
        </is>
      </c>
      <c r="F4" s="4" t="inlineStr"/>
      <c r="G4" s="4" t="inlineStr"/>
      <c r="H4" s="4" t="inlineStr"/>
      <c r="I4" s="4">
        <f>IFERROR(H4*C4,0)</f>
        <v/>
      </c>
      <c r="J4" s="4" t="inlineStr">
        <is>
          <t>KPI chính</t>
        </is>
      </c>
    </row>
    <row r="5">
      <c r="A5" s="4" t="inlineStr">
        <is>
          <t>MARKET</t>
        </is>
      </c>
      <c r="B5" s="4" t="inlineStr">
        <is>
          <t>Coverage shop</t>
        </is>
      </c>
      <c r="C5" s="4" t="n">
        <v>10</v>
      </c>
      <c r="D5" s="4" t="inlineStr">
        <is>
          <t>DKX shop/tổng shop</t>
        </is>
      </c>
      <c r="E5" s="4" t="inlineStr">
        <is>
          <t>Market Master</t>
        </is>
      </c>
      <c r="F5" s="4" t="inlineStr"/>
      <c r="G5" s="4" t="inlineStr"/>
      <c r="H5" s="4" t="inlineStr"/>
      <c r="I5" s="4">
        <f>IFERROR(H5*C5,0)</f>
        <v/>
      </c>
      <c r="J5" s="4" t="inlineStr"/>
    </row>
    <row r="6">
      <c r="A6" s="4" t="inlineStr">
        <is>
          <t>MARKET</t>
        </is>
      </c>
      <c r="B6" s="4" t="inlineStr">
        <is>
          <t>Active shop 30D</t>
        </is>
      </c>
      <c r="C6" s="4" t="n">
        <v>5</v>
      </c>
      <c r="D6" s="4" t="inlineStr">
        <is>
          <t>Active/ DKX shop</t>
        </is>
      </c>
      <c r="E6" s="4" t="inlineStr">
        <is>
          <t>Shop Master</t>
        </is>
      </c>
      <c r="F6" s="4" t="inlineStr"/>
      <c r="G6" s="4" t="inlineStr"/>
      <c r="H6" s="4" t="inlineStr"/>
      <c r="I6" s="4">
        <f>IFERROR(H6*C6,0)</f>
        <v/>
      </c>
      <c r="J6" s="4" t="inlineStr"/>
    </row>
    <row r="7">
      <c r="A7" s="4" t="inlineStr">
        <is>
          <t>CUSTOMER</t>
        </is>
      </c>
      <c r="B7" s="4" t="inlineStr">
        <is>
          <t>Reactivation</t>
        </is>
      </c>
      <c r="C7" s="4" t="n">
        <v>5</v>
      </c>
      <c r="D7" s="4" t="inlineStr">
        <is>
          <t>Dormant quay lại mua</t>
        </is>
      </c>
      <c r="E7" s="4" t="inlineStr">
        <is>
          <t>Shop Master</t>
        </is>
      </c>
      <c r="F7" s="4" t="inlineStr"/>
      <c r="G7" s="4" t="inlineStr"/>
      <c r="H7" s="4" t="inlineStr"/>
      <c r="I7" s="4">
        <f>IFERROR(H7*C7,0)</f>
        <v/>
      </c>
      <c r="J7" s="4" t="inlineStr"/>
    </row>
    <row r="8">
      <c r="A8" s="4" t="inlineStr">
        <is>
          <t>PRODUCT</t>
        </is>
      </c>
      <c r="B8" s="4" t="inlineStr">
        <is>
          <t>SKU/shop</t>
        </is>
      </c>
      <c r="C8" s="4" t="n">
        <v>5</v>
      </c>
      <c r="D8" s="4" t="inlineStr">
        <is>
          <t>SKU / active shop</t>
        </is>
      </c>
      <c r="E8" s="4" t="inlineStr">
        <is>
          <t>Shop Master</t>
        </is>
      </c>
      <c r="F8" s="4" t="inlineStr"/>
      <c r="G8" s="4" t="inlineStr"/>
      <c r="H8" s="4" t="inlineStr"/>
      <c r="I8" s="4">
        <f>IFERROR(H8*C8,0)</f>
        <v/>
      </c>
      <c r="J8" s="4" t="inlineStr"/>
    </row>
    <row r="9">
      <c r="A9" s="4" t="inlineStr">
        <is>
          <t>SELLOUT</t>
        </is>
      </c>
      <c r="B9" s="4" t="inlineStr">
        <is>
          <t>Shop có sell-out</t>
        </is>
      </c>
      <c r="C9" s="4" t="n">
        <v>10</v>
      </c>
      <c r="D9" s="4" t="inlineStr">
        <is>
          <t>Shop sell-out / shop có hàng</t>
        </is>
      </c>
      <c r="E9" s="4" t="inlineStr">
        <is>
          <t>Sell-out</t>
        </is>
      </c>
      <c r="F9" s="4" t="inlineStr"/>
      <c r="G9" s="4" t="inlineStr"/>
      <c r="H9" s="4" t="inlineStr"/>
      <c r="I9" s="4">
        <f>IFERROR(H9*C9,0)</f>
        <v/>
      </c>
      <c r="J9" s="4" t="inlineStr"/>
    </row>
    <row r="10">
      <c r="A10" s="4" t="inlineStr">
        <is>
          <t>INVENTORY</t>
        </is>
      </c>
      <c r="B10" s="4" t="inlineStr">
        <is>
          <t>Tồn &gt;30 ngày</t>
        </is>
      </c>
      <c r="C10" s="4" t="n">
        <v>5</v>
      </c>
      <c r="D10" s="4" t="inlineStr">
        <is>
          <t>Tỷ lệ tồn &gt;30D</t>
        </is>
      </c>
      <c r="E10" s="4" t="inlineStr">
        <is>
          <t>Inventory</t>
        </is>
      </c>
      <c r="F10" s="4" t="inlineStr"/>
      <c r="G10" s="4" t="inlineStr"/>
      <c r="H10" s="4" t="inlineStr"/>
      <c r="I10" s="4">
        <f>IFERROR(H10*C10,0)</f>
        <v/>
      </c>
      <c r="J10" s="4" t="inlineStr"/>
    </row>
    <row r="11">
      <c r="A11" s="4" t="inlineStr">
        <is>
          <t>NPP</t>
        </is>
      </c>
      <c r="B11" s="4" t="inlineStr">
        <is>
          <t>Growth Plan đúng hạn</t>
        </is>
      </c>
      <c r="C11" s="4" t="n">
        <v>10</v>
      </c>
      <c r="D11" s="4" t="inlineStr">
        <is>
          <t>Action done / committed</t>
        </is>
      </c>
      <c r="E11" s="4" t="inlineStr">
        <is>
          <t>Growth Plan</t>
        </is>
      </c>
      <c r="F11" s="4" t="inlineStr">
        <is>
          <t>100%</t>
        </is>
      </c>
      <c r="G11" s="4" t="inlineStr"/>
      <c r="H11" s="4" t="inlineStr"/>
      <c r="I11" s="4">
        <f>IFERROR(H11*C11,0)</f>
        <v/>
      </c>
      <c r="J11" s="4" t="inlineStr"/>
    </row>
    <row r="12">
      <c r="A12" s="4" t="inlineStr">
        <is>
          <t>DATA</t>
        </is>
      </c>
      <c r="B12" s="4" t="inlineStr">
        <is>
          <t>Data completeness</t>
        </is>
      </c>
      <c r="C12" s="4" t="n">
        <v>5</v>
      </c>
      <c r="D12" s="4" t="inlineStr">
        <is>
          <t>Dữ liệu đủ / tổng</t>
        </is>
      </c>
      <c r="E12" s="4" t="inlineStr">
        <is>
          <t>Master data</t>
        </is>
      </c>
      <c r="F12" s="4" t="inlineStr">
        <is>
          <t>≥95%</t>
        </is>
      </c>
      <c r="G12" s="4" t="inlineStr"/>
      <c r="H12" s="4" t="inlineStr"/>
      <c r="I12" s="4">
        <f>IFERROR(H12*C12,0)</f>
        <v/>
      </c>
      <c r="J12" s="4" t="inlineStr"/>
    </row>
    <row r="13">
      <c r="A13" s="4" t="inlineStr">
        <is>
          <t>MARKET</t>
        </is>
      </c>
      <c r="B13" s="4" t="inlineStr">
        <is>
          <t>Competitor intelligence</t>
        </is>
      </c>
      <c r="C13" s="4" t="n">
        <v>5</v>
      </c>
      <c r="D13" s="4" t="inlineStr">
        <is>
          <t>Cập nhật đúng hạn</t>
        </is>
      </c>
      <c r="E13" s="4" t="inlineStr">
        <is>
          <t>Competitor</t>
        </is>
      </c>
      <c r="F13" s="4" t="inlineStr">
        <is>
          <t>100%</t>
        </is>
      </c>
      <c r="G13" s="4" t="inlineStr"/>
      <c r="H13" s="4" t="inlineStr"/>
      <c r="I13" s="4">
        <f>IFERROR(H13*C13,0)</f>
        <v/>
      </c>
      <c r="J13" s="4" t="inlineStr"/>
    </row>
  </sheetData>
  <autoFilter ref="A3:J13"/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0" customWidth="1" min="5" max="5"/>
    <col width="18" customWidth="1" min="6" max="6"/>
    <col width="14" customWidth="1" min="7" max="7"/>
    <col width="18" customWidth="1" min="8" max="8"/>
    <col width="24" customWidth="1" min="9" max="9"/>
    <col width="28" customWidth="1" min="10" max="10"/>
    <col width="26" customWidth="1" min="11" max="11"/>
  </cols>
  <sheetData>
    <row r="1" ht="28" customHeight="1">
      <c r="A1" s="1" t="inlineStr">
        <is>
          <t>12 – SOLUTION MATRIX | TỪ VẤN ĐỀ ĐẾN GIẢI PHÁP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Vấn đề</t>
        </is>
      </c>
      <c r="B3" s="3" t="inlineStr">
        <is>
          <t>Dấu hiệu dữ liệu</t>
        </is>
      </c>
      <c r="C3" s="3" t="inlineStr">
        <is>
          <t>Nguyên nhân thường gặp</t>
        </is>
      </c>
      <c r="D3" s="3" t="inlineStr">
        <is>
          <t>Giải pháp ưu tiên</t>
        </is>
      </c>
      <c r="E3" s="3" t="inlineStr">
        <is>
          <t>Cách kiểm chứng</t>
        </is>
      </c>
      <c r="F3" s="3" t="inlineStr">
        <is>
          <t>Owner</t>
        </is>
      </c>
      <c r="G3" s="3" t="inlineStr">
        <is>
          <t>Deadline</t>
        </is>
      </c>
      <c r="H3" s="3" t="inlineStr">
        <is>
          <t>DS kỳ vọng</t>
        </is>
      </c>
      <c r="I3" s="3" t="inlineStr">
        <is>
          <t>KPI kiểm soát</t>
        </is>
      </c>
      <c r="J3" s="3" t="inlineStr">
        <is>
          <t>Không được làm</t>
        </is>
      </c>
      <c r="K3" s="3" t="inlineStr">
        <is>
          <t>Khi nào escalate</t>
        </is>
      </c>
    </row>
    <row r="4">
      <c r="A4" s="4" t="inlineStr">
        <is>
          <t>Coverage thấp</t>
        </is>
      </c>
      <c r="B4" s="4" t="inlineStr">
        <is>
          <t>Nhiều prospect chưa có DKX</t>
        </is>
      </c>
      <c r="C4" s="4" t="inlineStr">
        <is>
          <t>Thiếu tuyến/ưu tiên thấp</t>
        </is>
      </c>
      <c r="D4" s="4" t="inlineStr">
        <is>
          <t>Mở tuyến + target prospect</t>
        </is>
      </c>
      <c r="E4" s="4" t="inlineStr">
        <is>
          <t>Có đơn/active 30D</t>
        </is>
      </c>
      <c r="F4" s="4" t="inlineStr">
        <is>
          <t>NPP Sales</t>
        </is>
      </c>
      <c r="G4" s="4" t="inlineStr">
        <is>
          <t>7-14 ngày</t>
        </is>
      </c>
      <c r="H4" s="4" t="inlineStr">
        <is>
          <t>Theo plan</t>
        </is>
      </c>
      <c r="I4" s="4" t="inlineStr">
        <is>
          <t>Coverage</t>
        </is>
      </c>
      <c r="J4" s="4" t="inlineStr">
        <is>
          <t>Chỉ yêu cầu nhập thêm</t>
        </is>
      </c>
      <c r="K4" s="4" t="inlineStr">
        <is>
          <t>NPP không triển khai</t>
        </is>
      </c>
    </row>
    <row r="5">
      <c r="A5" s="4" t="inlineStr">
        <is>
          <t>Có hàng nhưng không bán</t>
        </is>
      </c>
      <c r="B5" s="4" t="inlineStr">
        <is>
          <t>Tồn tăng, sell-out thấp</t>
        </is>
      </c>
      <c r="C5" s="4" t="inlineStr">
        <is>
          <t>NV shop chưa biết SP/POSM yếu</t>
        </is>
      </c>
      <c r="D5" s="4" t="inlineStr">
        <is>
          <t>Training + POSM + activation</t>
        </is>
      </c>
      <c r="E5" s="4" t="inlineStr">
        <is>
          <t>Sell-out 7-14D</t>
        </is>
      </c>
      <c r="F5" s="4" t="inlineStr">
        <is>
          <t>ASM+NPP</t>
        </is>
      </c>
      <c r="G5" s="4" t="inlineStr">
        <is>
          <t>7 ngày</t>
        </is>
      </c>
      <c r="H5" s="4" t="inlineStr">
        <is>
          <t>Theo plan</t>
        </is>
      </c>
      <c r="I5" s="4" t="inlineStr">
        <is>
          <t>Sell-out</t>
        </is>
      </c>
      <c r="J5" s="4" t="inlineStr">
        <is>
          <t>Đẩy thêm hàng</t>
        </is>
      </c>
      <c r="K5" s="4" t="inlineStr">
        <is>
          <t>Tồn &gt;30D</t>
        </is>
      </c>
    </row>
    <row r="6">
      <c r="A6" s="4" t="inlineStr">
        <is>
          <t>1 SKU/shop</t>
        </is>
      </c>
      <c r="B6" s="4" t="inlineStr">
        <is>
          <t>SKU/shop thấp</t>
        </is>
      </c>
      <c r="C6" s="4" t="inlineStr">
        <is>
          <t>Chưa cross-sell</t>
        </is>
      </c>
      <c r="D6" s="4" t="inlineStr">
        <is>
          <t>Combo/problem solution</t>
        </is>
      </c>
      <c r="E6" s="4" t="inlineStr">
        <is>
          <t>SKU tăng + reorder</t>
        </is>
      </c>
      <c r="F6" s="4" t="inlineStr">
        <is>
          <t>ASM</t>
        </is>
      </c>
      <c r="G6" s="4" t="inlineStr">
        <is>
          <t>14 ngày</t>
        </is>
      </c>
      <c r="H6" s="4" t="inlineStr">
        <is>
          <t>Theo plan</t>
        </is>
      </c>
      <c r="I6" s="4" t="inlineStr">
        <is>
          <t>SKU/shop</t>
        </is>
      </c>
      <c r="J6" s="4" t="inlineStr">
        <is>
          <t>Ép SKU không phù hợp</t>
        </is>
      </c>
      <c r="K6" s="4" t="inlineStr">
        <is>
          <t>SKU không quay vòng</t>
        </is>
      </c>
    </row>
    <row r="7">
      <c r="A7" s="4" t="inlineStr">
        <is>
          <t>Shop ngủ</t>
        </is>
      </c>
      <c r="B7" s="4" t="inlineStr">
        <is>
          <t>31-90D không mua</t>
        </is>
      </c>
      <c r="C7" s="4" t="inlineStr">
        <is>
          <t>CSKH yếu/tồn/đối thủ</t>
        </is>
      </c>
      <c r="D7" s="4" t="inlineStr">
        <is>
          <t>Reactivation plan</t>
        </is>
      </c>
      <c r="E7" s="4" t="inlineStr">
        <is>
          <t>Có đơn mới</t>
        </is>
      </c>
      <c r="F7" s="4" t="inlineStr">
        <is>
          <t>NPP Sales</t>
        </is>
      </c>
      <c r="G7" s="4" t="inlineStr">
        <is>
          <t>14 ngày</t>
        </is>
      </c>
      <c r="H7" s="4" t="inlineStr">
        <is>
          <t>Theo plan</t>
        </is>
      </c>
      <c r="I7" s="4" t="inlineStr">
        <is>
          <t>Reactivation</t>
        </is>
      </c>
      <c r="J7" s="4" t="inlineStr">
        <is>
          <t>Chỉ gọi hỏi thăm</t>
        </is>
      </c>
      <c r="K7" s="4" t="inlineStr">
        <is>
          <t>Không phản hồi</t>
        </is>
      </c>
    </row>
    <row r="8">
      <c r="A8" s="4" t="inlineStr">
        <is>
          <t>Tồn cao</t>
        </is>
      </c>
      <c r="B8" s="4" t="inlineStr">
        <is>
          <t>&gt;30 ngày</t>
        </is>
      </c>
      <c r="C8" s="4" t="inlineStr">
        <is>
          <t>Nhập vượt sell-out</t>
        </is>
      </c>
      <c r="D8" s="4" t="inlineStr">
        <is>
          <t>Giảm nhập + sell-out plan</t>
        </is>
      </c>
      <c r="E8" s="4" t="inlineStr">
        <is>
          <t>Stock days giảm</t>
        </is>
      </c>
      <c r="F8" s="4" t="inlineStr">
        <is>
          <t>NPP+ASM</t>
        </is>
      </c>
      <c r="G8" s="4" t="inlineStr">
        <is>
          <t>7 ngày</t>
        </is>
      </c>
      <c r="H8" s="4" t="inlineStr">
        <is>
          <t>Theo plan</t>
        </is>
      </c>
      <c r="I8" s="4" t="inlineStr">
        <is>
          <t>Days inventory</t>
        </is>
      </c>
      <c r="J8" s="4" t="inlineStr">
        <is>
          <t>Tiếp tục sell-in</t>
        </is>
      </c>
      <c r="K8" s="4" t="inlineStr">
        <is>
          <t>&gt;60 ngày</t>
        </is>
      </c>
    </row>
    <row r="9">
      <c r="A9" s="4" t="inlineStr">
        <is>
          <t>NPP giảm DS</t>
        </is>
      </c>
      <c r="B9" s="4" t="inlineStr">
        <is>
          <t>Giảm liên tục</t>
        </is>
      </c>
      <c r="C9" s="4" t="inlineStr">
        <is>
          <t>Coverage/salesman/SKU/cạnh tranh/tồn</t>
        </is>
      </c>
      <c r="D9" s="4" t="inlineStr">
        <is>
          <t>Root cause + recovery</t>
        </is>
      </c>
      <c r="E9" s="4" t="inlineStr">
        <is>
          <t>Sales quay lại target</t>
        </is>
      </c>
      <c r="F9" s="4" t="inlineStr">
        <is>
          <t>ASM</t>
        </is>
      </c>
      <c r="G9" s="4" t="inlineStr">
        <is>
          <t>7 ngày</t>
        </is>
      </c>
      <c r="H9" s="4" t="inlineStr">
        <is>
          <t>Theo plan</t>
        </is>
      </c>
      <c r="I9" s="4" t="inlineStr">
        <is>
          <t>Weekly target</t>
        </is>
      </c>
      <c r="J9" s="4" t="inlineStr">
        <is>
          <t>Đổ lỗi thị trường</t>
        </is>
      </c>
      <c r="K9" s="4" t="inlineStr">
        <is>
          <t>2 tuần &lt;90%</t>
        </is>
      </c>
    </row>
  </sheetData>
  <autoFilter ref="A3:K9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28" customWidth="1" min="4" max="4"/>
    <col width="32" customWidth="1" min="5" max="5"/>
    <col width="28" customWidth="1" min="6" max="6"/>
    <col width="30" customWidth="1" min="7" max="7"/>
    <col width="2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28" customHeight="1">
      <c r="A1" s="1" t="inlineStr">
        <is>
          <t>13 – ASM CHECKLIST | CÔNG VIỆC ĐỊA BÀN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Chu kỳ</t>
        </is>
      </c>
      <c r="B3" s="3" t="inlineStr">
        <is>
          <t>Công việc</t>
        </is>
      </c>
      <c r="C3" s="3" t="inlineStr">
        <is>
          <t>Mục tiêu</t>
        </is>
      </c>
      <c r="D3" s="3" t="inlineStr">
        <is>
          <t>Input</t>
        </is>
      </c>
      <c r="E3" s="3" t="inlineStr">
        <is>
          <t>Process</t>
        </is>
      </c>
      <c r="F3" s="3" t="inlineStr">
        <is>
          <t>Output</t>
        </is>
      </c>
      <c r="G3" s="3" t="inlineStr">
        <is>
          <t>Outcome</t>
        </is>
      </c>
      <c r="H3" s="3" t="inlineStr">
        <is>
          <t>KPI</t>
        </is>
      </c>
      <c r="I3" s="3" t="inlineStr">
        <is>
          <t>Tần suất</t>
        </is>
      </c>
      <c r="J3" s="3" t="inlineStr">
        <is>
          <t>Owner</t>
        </is>
      </c>
      <c r="K3" s="3" t="inlineStr">
        <is>
          <t>Deadline</t>
        </is>
      </c>
      <c r="L3" s="3" t="inlineStr">
        <is>
          <t>Trạng thái</t>
        </is>
      </c>
    </row>
    <row r="4">
      <c r="A4" s="4" t="inlineStr">
        <is>
          <t>Daily</t>
        </is>
      </c>
      <c r="B4" s="4" t="inlineStr">
        <is>
          <t>Kiểm tra sales &amp; GAP</t>
        </is>
      </c>
      <c r="C4" s="4" t="inlineStr">
        <is>
          <t>Biết lệch ở đâu</t>
        </is>
      </c>
      <c r="D4" s="4" t="inlineStr">
        <is>
          <t>Sales/Orders</t>
        </is>
      </c>
      <c r="E4" s="4" t="inlineStr">
        <is>
          <t>Actual vs target</t>
        </is>
      </c>
      <c r="F4" s="4" t="inlineStr">
        <is>
          <t>Gap list</t>
        </is>
      </c>
      <c r="G4" s="4" t="inlineStr">
        <is>
          <t>Recovery action</t>
        </is>
      </c>
      <c r="H4" s="4" t="inlineStr">
        <is>
          <t>% target</t>
        </is>
      </c>
      <c r="I4" s="4" t="inlineStr">
        <is>
          <t>Daily</t>
        </is>
      </c>
      <c r="J4" s="4" t="inlineStr">
        <is>
          <t>ASM</t>
        </is>
      </c>
      <c r="K4" s="4" t="inlineStr"/>
      <c r="L4" s="4" t="inlineStr"/>
    </row>
    <row r="5">
      <c r="A5" s="4" t="inlineStr">
        <is>
          <t>Daily</t>
        </is>
      </c>
      <c r="B5" s="4" t="inlineStr">
        <is>
          <t>Kiểm tra NPP risk</t>
        </is>
      </c>
      <c r="C5" s="4" t="inlineStr">
        <is>
          <t>Phát hiện NPP giảm</t>
        </is>
      </c>
      <c r="D5" s="4" t="inlineStr">
        <is>
          <t>Sales+tồn</t>
        </is>
      </c>
      <c r="E5" s="4" t="inlineStr">
        <is>
          <t>Flag risk</t>
        </is>
      </c>
      <c r="F5" s="4" t="inlineStr">
        <is>
          <t>Risk list</t>
        </is>
      </c>
      <c r="G5" s="4" t="inlineStr">
        <is>
          <t>Action</t>
        </is>
      </c>
      <c r="H5" s="4" t="inlineStr">
        <is>
          <t>Risk closed</t>
        </is>
      </c>
      <c r="I5" s="4" t="inlineStr">
        <is>
          <t>Daily</t>
        </is>
      </c>
      <c r="J5" s="4" t="inlineStr">
        <is>
          <t>ASM</t>
        </is>
      </c>
      <c r="K5" s="4" t="inlineStr"/>
      <c r="L5" s="4" t="inlineStr"/>
    </row>
    <row r="6">
      <c r="A6" s="4" t="inlineStr">
        <is>
          <t>Weekly</t>
        </is>
      </c>
      <c r="B6" s="4" t="inlineStr">
        <is>
          <t>Review active/dormant/lost</t>
        </is>
      </c>
      <c r="C6" s="4" t="inlineStr">
        <is>
          <t>Bảo vệ nền DS</t>
        </is>
      </c>
      <c r="D6" s="4" t="inlineStr">
        <is>
          <t>Shop Master</t>
        </is>
      </c>
      <c r="E6" s="4" t="inlineStr">
        <is>
          <t>Segment</t>
        </is>
      </c>
      <c r="F6" s="4" t="inlineStr">
        <is>
          <t>Shop action</t>
        </is>
      </c>
      <c r="G6" s="4" t="inlineStr">
        <is>
          <t>Reactivation</t>
        </is>
      </c>
      <c r="H6" s="4" t="inlineStr">
        <is>
          <t># reactivated</t>
        </is>
      </c>
      <c r="I6" s="4" t="inlineStr">
        <is>
          <t>Weekly</t>
        </is>
      </c>
      <c r="J6" s="4" t="inlineStr">
        <is>
          <t>ASM</t>
        </is>
      </c>
      <c r="K6" s="4" t="inlineStr"/>
      <c r="L6" s="4" t="inlineStr"/>
    </row>
    <row r="7">
      <c r="A7" s="4" t="inlineStr">
        <is>
          <t>Weekly</t>
        </is>
      </c>
      <c r="B7" s="4" t="inlineStr">
        <is>
          <t>Review sell-out</t>
        </is>
      </c>
      <c r="C7" s="4" t="inlineStr">
        <is>
          <t>Tăng bán ra</t>
        </is>
      </c>
      <c r="D7" s="4" t="inlineStr">
        <is>
          <t>Sell-out</t>
        </is>
      </c>
      <c r="E7" s="4" t="inlineStr">
        <is>
          <t>Analyze</t>
        </is>
      </c>
      <c r="F7" s="4" t="inlineStr">
        <is>
          <t>Sell-out plan</t>
        </is>
      </c>
      <c r="G7" s="4" t="inlineStr">
        <is>
          <t>Sell-out rate</t>
        </is>
      </c>
      <c r="H7" s="4" t="inlineStr">
        <is>
          <t>% shop sell-out</t>
        </is>
      </c>
      <c r="I7" s="4" t="inlineStr">
        <is>
          <t>Weekly</t>
        </is>
      </c>
      <c r="J7" s="4" t="inlineStr">
        <is>
          <t>ASM</t>
        </is>
      </c>
      <c r="K7" s="4" t="inlineStr"/>
      <c r="L7" s="4" t="inlineStr"/>
    </row>
    <row r="8">
      <c r="A8" s="4" t="inlineStr">
        <is>
          <t>Weekly</t>
        </is>
      </c>
      <c r="B8" s="4" t="inlineStr">
        <is>
          <t>NPP Growth Review</t>
        </is>
      </c>
      <c r="C8" s="4" t="inlineStr">
        <is>
          <t>Chốt GAP</t>
        </is>
      </c>
      <c r="D8" s="4" t="inlineStr">
        <is>
          <t>Growth Plan</t>
        </is>
      </c>
      <c r="E8" s="4" t="inlineStr">
        <is>
          <t>5D review</t>
        </is>
      </c>
      <c r="F8" s="4" t="inlineStr">
        <is>
          <t>Updated plan</t>
        </is>
      </c>
      <c r="G8" s="4" t="inlineStr">
        <is>
          <t>Revenue recovery</t>
        </is>
      </c>
      <c r="H8" s="4" t="inlineStr">
        <is>
          <t>% action closed</t>
        </is>
      </c>
      <c r="I8" s="4" t="inlineStr">
        <is>
          <t>Weekly</t>
        </is>
      </c>
      <c r="J8" s="4" t="inlineStr">
        <is>
          <t>ASM</t>
        </is>
      </c>
      <c r="K8" s="4" t="inlineStr"/>
      <c r="L8" s="4" t="inlineStr"/>
    </row>
    <row r="9">
      <c r="A9" s="4" t="inlineStr">
        <is>
          <t>Monthly</t>
        </is>
      </c>
      <c r="B9" s="4" t="inlineStr">
        <is>
          <t>NPP Business Review</t>
        </is>
      </c>
      <c r="C9" s="4" t="inlineStr">
        <is>
          <t>Tăng trưởng tháng sau</t>
        </is>
      </c>
      <c r="D9" s="4" t="inlineStr">
        <is>
          <t>Fact Pack</t>
        </is>
      </c>
      <c r="E9" s="4" t="inlineStr">
        <is>
          <t>Diagnose+solution</t>
        </is>
      </c>
      <c r="F9" s="4" t="inlineStr">
        <is>
          <t>Growth Plan</t>
        </is>
      </c>
      <c r="G9" s="4" t="inlineStr">
        <is>
          <t>Target committed</t>
        </is>
      </c>
      <c r="H9" s="4" t="inlineStr">
        <is>
          <t>Target revenue</t>
        </is>
      </c>
      <c r="I9" s="4" t="inlineStr">
        <is>
          <t>Monthly</t>
        </is>
      </c>
      <c r="J9" s="4" t="inlineStr">
        <is>
          <t>ASM</t>
        </is>
      </c>
      <c r="K9" s="4" t="inlineStr"/>
      <c r="L9" s="4" t="inlineStr"/>
    </row>
    <row r="10">
      <c r="A10" s="4" t="inlineStr">
        <is>
          <t>Monthly</t>
        </is>
      </c>
      <c r="B10" s="4" t="inlineStr">
        <is>
          <t>Market intelligence</t>
        </is>
      </c>
      <c r="C10" s="4" t="inlineStr">
        <is>
          <t>Cập nhật đối thủ</t>
        </is>
      </c>
      <c r="D10" s="4" t="inlineStr">
        <is>
          <t>Competitor</t>
        </is>
      </c>
      <c r="E10" s="4" t="inlineStr">
        <is>
          <t>Collect+validate</t>
        </is>
      </c>
      <c r="F10" s="4" t="inlineStr">
        <is>
          <t>Insight</t>
        </is>
      </c>
      <c r="G10" s="4" t="inlineStr">
        <is>
          <t>Actionable insight</t>
        </is>
      </c>
      <c r="H10" s="4" t="inlineStr">
        <is>
          <t># actions</t>
        </is>
      </c>
      <c r="I10" s="4" t="inlineStr">
        <is>
          <t>Monthly</t>
        </is>
      </c>
      <c r="J10" s="4" t="inlineStr">
        <is>
          <t>ASM</t>
        </is>
      </c>
      <c r="K10" s="4" t="inlineStr"/>
      <c r="L10" s="4" t="inlineStr"/>
    </row>
    <row r="11">
      <c r="A11" s="4" t="inlineStr">
        <is>
          <t>Quarterly</t>
        </is>
      </c>
      <c r="B11" s="4" t="inlineStr">
        <is>
          <t>Territory Strategy Review</t>
        </is>
      </c>
      <c r="C11" s="4" t="inlineStr">
        <is>
          <t>Đánh giá lại địa bàn</t>
        </is>
      </c>
      <c r="D11" s="4" t="inlineStr">
        <is>
          <t>All data</t>
        </is>
      </c>
      <c r="E11" s="4" t="inlineStr">
        <is>
          <t>Market/NPP/shop</t>
        </is>
      </c>
      <c r="F11" s="4" t="inlineStr">
        <is>
          <t>Territory plan</t>
        </is>
      </c>
      <c r="G11" s="4" t="inlineStr">
        <is>
          <t>Growth engine</t>
        </is>
      </c>
      <c r="H11" s="4" t="inlineStr">
        <is>
          <t>Growth rate</t>
        </is>
      </c>
      <c r="I11" s="4" t="inlineStr">
        <is>
          <t>Quarterly</t>
        </is>
      </c>
      <c r="J11" s="4" t="inlineStr">
        <is>
          <t>ASM</t>
        </is>
      </c>
      <c r="K11" s="4" t="inlineStr"/>
      <c r="L11" s="4" t="inlineStr"/>
    </row>
  </sheetData>
  <autoFilter ref="A3:L11"/>
  <mergeCells count="1">
    <mergeCell ref="A1:L1"/>
  </mergeCells>
  <dataValidations count="1">
    <dataValidation sqref="L4:L11" showDropDown="0" showInputMessage="0" showErrorMessage="0" allowBlank="0" type="list">
      <formula1>"Not started,Doing,Done,Blocked"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2026-10-06T02:52:34Z</dcterms:created>
  <dcterms:modified xmlns:dcterms="http://purl.org/dc/terms/" xmlns:xsi="http://www.w3.org/2001/XMLSchema-instance" xsi:type="dcterms:W3CDTF">2026-10-06T02:52:35Z</dcterms:modified>
</cp:coreProperties>
</file>